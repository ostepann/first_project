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data-optimization\"/>
    </mc:Choice>
  </mc:AlternateContent>
  <bookViews>
    <workbookView xWindow="0" yWindow="0" windowWidth="22740" windowHeight="9705" activeTab="2"/>
  </bookViews>
  <sheets>
    <sheet name="trades_lookback29_mktvol21_2026" sheetId="1" r:id="rId1"/>
    <sheet name="EQMX" sheetId="2" r:id="rId2"/>
    <sheet name="Sheet5" sheetId="6" r:id="rId3"/>
    <sheet name="GOLD" sheetId="3" r:id="rId4"/>
    <sheet name="LQDT" sheetId="4" r:id="rId5"/>
    <sheet name="OBLG" sheetId="5" r:id="rId6"/>
  </sheets>
  <definedNames>
    <definedName name="_xlnm._FilterDatabase" localSheetId="0" hidden="1">trades_lookback29_mktvol21_2026!$A$1:$J$18</definedName>
  </definedNames>
  <calcPr calcId="0"/>
</workbook>
</file>

<file path=xl/calcChain.xml><?xml version="1.0" encoding="utf-8"?>
<calcChain xmlns="http://schemas.openxmlformats.org/spreadsheetml/2006/main">
  <c r="F6" i="6" l="1"/>
  <c r="F7" i="6"/>
  <c r="F8" i="6"/>
  <c r="F9" i="6"/>
  <c r="F10" i="6"/>
  <c r="F13" i="6"/>
  <c r="F14" i="6"/>
  <c r="F15" i="6"/>
  <c r="F21" i="6"/>
  <c r="F35" i="6"/>
  <c r="F38" i="6"/>
  <c r="F40" i="6"/>
  <c r="F42" i="6"/>
  <c r="F43" i="6"/>
  <c r="F50" i="6"/>
  <c r="F51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2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3" i="5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3" i="4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3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3" i="1"/>
</calcChain>
</file>

<file path=xl/sharedStrings.xml><?xml version="1.0" encoding="utf-8"?>
<sst xmlns="http://schemas.openxmlformats.org/spreadsheetml/2006/main" count="78" uniqueCount="23">
  <si>
    <t>date</t>
  </si>
  <si>
    <t>action</t>
  </si>
  <si>
    <t>ticker</t>
  </si>
  <si>
    <t>execution_price</t>
  </si>
  <si>
    <t>market_price</t>
  </si>
  <si>
    <t>quantity</t>
  </si>
  <si>
    <t>quantity_signed</t>
  </si>
  <si>
    <t>cash_balance</t>
  </si>
  <si>
    <t>position_value</t>
  </si>
  <si>
    <t>total_value</t>
  </si>
  <si>
    <t>BUY</t>
  </si>
  <si>
    <t>GOLD</t>
  </si>
  <si>
    <t>OBLG</t>
  </si>
  <si>
    <t>LQDT</t>
  </si>
  <si>
    <t>EQMX</t>
  </si>
  <si>
    <t>TRADEDATE</t>
  </si>
  <si>
    <t>OPEN</t>
  </si>
  <si>
    <t>HIGH</t>
  </si>
  <si>
    <t>LOW</t>
  </si>
  <si>
    <t>CLOSE</t>
  </si>
  <si>
    <t>VOLUME</t>
  </si>
  <si>
    <t>result</t>
  </si>
  <si>
    <t>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</si>
</sst>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EQMX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Sheet5!$A$2:$A$51</c:f>
              <c:numCache>
                <c:formatCode>m/d/yyyy</c:formatCode>
                <c:ptCount val="50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46016</c:v>
                </c:pt>
                <c:pt idx="18">
                  <c:v>46017</c:v>
                </c:pt>
                <c:pt idx="19">
                  <c:v>46020</c:v>
                </c:pt>
                <c:pt idx="20">
                  <c:v>46021</c:v>
                </c:pt>
                <c:pt idx="21">
                  <c:v>46027</c:v>
                </c:pt>
                <c:pt idx="22">
                  <c:v>46028</c:v>
                </c:pt>
                <c:pt idx="23">
                  <c:v>46030</c:v>
                </c:pt>
                <c:pt idx="24">
                  <c:v>46031</c:v>
                </c:pt>
                <c:pt idx="25">
                  <c:v>46034</c:v>
                </c:pt>
                <c:pt idx="26">
                  <c:v>46035</c:v>
                </c:pt>
                <c:pt idx="27">
                  <c:v>46036</c:v>
                </c:pt>
                <c:pt idx="28">
                  <c:v>46037</c:v>
                </c:pt>
                <c:pt idx="29">
                  <c:v>46038</c:v>
                </c:pt>
                <c:pt idx="30">
                  <c:v>46041</c:v>
                </c:pt>
                <c:pt idx="31">
                  <c:v>46042</c:v>
                </c:pt>
                <c:pt idx="32">
                  <c:v>46043</c:v>
                </c:pt>
                <c:pt idx="33">
                  <c:v>46044</c:v>
                </c:pt>
                <c:pt idx="34">
                  <c:v>46045</c:v>
                </c:pt>
                <c:pt idx="35">
                  <c:v>46048</c:v>
                </c:pt>
                <c:pt idx="36">
                  <c:v>46049</c:v>
                </c:pt>
                <c:pt idx="37">
                  <c:v>46050</c:v>
                </c:pt>
                <c:pt idx="38">
                  <c:v>46051</c:v>
                </c:pt>
                <c:pt idx="39">
                  <c:v>46052</c:v>
                </c:pt>
                <c:pt idx="40">
                  <c:v>46055</c:v>
                </c:pt>
                <c:pt idx="41">
                  <c:v>46056</c:v>
                </c:pt>
                <c:pt idx="42">
                  <c:v>46057</c:v>
                </c:pt>
                <c:pt idx="43">
                  <c:v>46058</c:v>
                </c:pt>
                <c:pt idx="44">
                  <c:v>46059</c:v>
                </c:pt>
                <c:pt idx="45">
                  <c:v>46062</c:v>
                </c:pt>
                <c:pt idx="46">
                  <c:v>46063</c:v>
                </c:pt>
                <c:pt idx="47">
                  <c:v>46064</c:v>
                </c:pt>
                <c:pt idx="48">
                  <c:v>46065</c:v>
                </c:pt>
                <c:pt idx="49">
                  <c:v>46066</c:v>
                </c:pt>
              </c:numCache>
            </c:numRef>
          </c:xVal>
          <c:yVal>
            <c:numRef>
              <c:f>Sheet5!$B$2:$B$51</c:f>
              <c:numCache>
                <c:formatCode>General</c:formatCode>
                <c:ptCount val="50"/>
                <c:pt idx="0">
                  <c:v>0</c:v>
                </c:pt>
                <c:pt idx="1">
                  <c:v>-1.0222709017889575</c:v>
                </c:pt>
                <c:pt idx="2">
                  <c:v>-1.0587805768528578</c:v>
                </c:pt>
                <c:pt idx="3">
                  <c:v>1.2413289521723383</c:v>
                </c:pt>
                <c:pt idx="4">
                  <c:v>0.51113545089449963</c:v>
                </c:pt>
                <c:pt idx="5">
                  <c:v>0.92004381161009086</c:v>
                </c:pt>
                <c:pt idx="6">
                  <c:v>1.24863088718511</c:v>
                </c:pt>
                <c:pt idx="7">
                  <c:v>1.5772179627601499</c:v>
                </c:pt>
                <c:pt idx="8">
                  <c:v>1.905805038335169</c:v>
                </c:pt>
                <c:pt idx="9">
                  <c:v>2.2343921139101881</c:v>
                </c:pt>
                <c:pt idx="10">
                  <c:v>2.5629791894852278</c:v>
                </c:pt>
                <c:pt idx="11">
                  <c:v>2.8915662650602467</c:v>
                </c:pt>
                <c:pt idx="12">
                  <c:v>3.2201533406352865</c:v>
                </c:pt>
                <c:pt idx="13">
                  <c:v>3.5487404162103062</c:v>
                </c:pt>
                <c:pt idx="14">
                  <c:v>3.8773274917853247</c:v>
                </c:pt>
                <c:pt idx="15">
                  <c:v>4.2059145673603648</c:v>
                </c:pt>
                <c:pt idx="16">
                  <c:v>4.5345016429353837</c:v>
                </c:pt>
                <c:pt idx="17">
                  <c:v>4.8630887185104239</c:v>
                </c:pt>
                <c:pt idx="18">
                  <c:v>5.1916757940854428</c:v>
                </c:pt>
                <c:pt idx="19">
                  <c:v>5.5202628696604625</c:v>
                </c:pt>
                <c:pt idx="20">
                  <c:v>5.8488499452355018</c:v>
                </c:pt>
                <c:pt idx="21">
                  <c:v>6.1774370208105207</c:v>
                </c:pt>
                <c:pt idx="22">
                  <c:v>6.5060240963855609</c:v>
                </c:pt>
                <c:pt idx="23">
                  <c:v>6.8346111719605807</c:v>
                </c:pt>
                <c:pt idx="24">
                  <c:v>7.1631982475355986</c:v>
                </c:pt>
                <c:pt idx="25">
                  <c:v>7.4917853231106388</c:v>
                </c:pt>
                <c:pt idx="26">
                  <c:v>7.8203723986856586</c:v>
                </c:pt>
                <c:pt idx="27">
                  <c:v>8.1489594742606979</c:v>
                </c:pt>
                <c:pt idx="28">
                  <c:v>8.4775465498357168</c:v>
                </c:pt>
                <c:pt idx="29">
                  <c:v>8.8061336254107356</c:v>
                </c:pt>
                <c:pt idx="30">
                  <c:v>9.1347207009857776</c:v>
                </c:pt>
                <c:pt idx="31">
                  <c:v>9.4633077765607947</c:v>
                </c:pt>
                <c:pt idx="32">
                  <c:v>9.7918948521358349</c:v>
                </c:pt>
                <c:pt idx="33">
                  <c:v>10.120481927710854</c:v>
                </c:pt>
                <c:pt idx="34">
                  <c:v>10.449069003285873</c:v>
                </c:pt>
                <c:pt idx="35">
                  <c:v>10.777656078860913</c:v>
                </c:pt>
                <c:pt idx="36">
                  <c:v>11.106243154435932</c:v>
                </c:pt>
                <c:pt idx="37">
                  <c:v>11.434830230010974</c:v>
                </c:pt>
                <c:pt idx="38">
                  <c:v>11.763417305585991</c:v>
                </c:pt>
                <c:pt idx="39">
                  <c:v>12.09200438116101</c:v>
                </c:pt>
                <c:pt idx="40">
                  <c:v>12.42059145673605</c:v>
                </c:pt>
                <c:pt idx="41">
                  <c:v>12.74917853231107</c:v>
                </c:pt>
                <c:pt idx="42">
                  <c:v>13.077765607886111</c:v>
                </c:pt>
                <c:pt idx="43">
                  <c:v>13.406352683461128</c:v>
                </c:pt>
                <c:pt idx="44">
                  <c:v>13.734939759036147</c:v>
                </c:pt>
                <c:pt idx="45">
                  <c:v>14.063526834611187</c:v>
                </c:pt>
                <c:pt idx="46">
                  <c:v>14.392113910186206</c:v>
                </c:pt>
                <c:pt idx="47">
                  <c:v>14.720700985761246</c:v>
                </c:pt>
                <c:pt idx="48">
                  <c:v>15.049288061336267</c:v>
                </c:pt>
                <c:pt idx="49">
                  <c:v>15.377875136911284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Sheet5!$C$1</c:f>
              <c:strCache>
                <c:ptCount val="1"/>
                <c:pt idx="0">
                  <c:v>GOLD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Sheet5!$A$2:$A$51</c:f>
              <c:numCache>
                <c:formatCode>m/d/yyyy</c:formatCode>
                <c:ptCount val="50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46016</c:v>
                </c:pt>
                <c:pt idx="18">
                  <c:v>46017</c:v>
                </c:pt>
                <c:pt idx="19">
                  <c:v>46020</c:v>
                </c:pt>
                <c:pt idx="20">
                  <c:v>46021</c:v>
                </c:pt>
                <c:pt idx="21">
                  <c:v>46027</c:v>
                </c:pt>
                <c:pt idx="22">
                  <c:v>46028</c:v>
                </c:pt>
                <c:pt idx="23">
                  <c:v>46030</c:v>
                </c:pt>
                <c:pt idx="24">
                  <c:v>46031</c:v>
                </c:pt>
                <c:pt idx="25">
                  <c:v>46034</c:v>
                </c:pt>
                <c:pt idx="26">
                  <c:v>46035</c:v>
                </c:pt>
                <c:pt idx="27">
                  <c:v>46036</c:v>
                </c:pt>
                <c:pt idx="28">
                  <c:v>46037</c:v>
                </c:pt>
                <c:pt idx="29">
                  <c:v>46038</c:v>
                </c:pt>
                <c:pt idx="30">
                  <c:v>46041</c:v>
                </c:pt>
                <c:pt idx="31">
                  <c:v>46042</c:v>
                </c:pt>
                <c:pt idx="32">
                  <c:v>46043</c:v>
                </c:pt>
                <c:pt idx="33">
                  <c:v>46044</c:v>
                </c:pt>
                <c:pt idx="34">
                  <c:v>46045</c:v>
                </c:pt>
                <c:pt idx="35">
                  <c:v>46048</c:v>
                </c:pt>
                <c:pt idx="36">
                  <c:v>46049</c:v>
                </c:pt>
                <c:pt idx="37">
                  <c:v>46050</c:v>
                </c:pt>
                <c:pt idx="38">
                  <c:v>46051</c:v>
                </c:pt>
                <c:pt idx="39">
                  <c:v>46052</c:v>
                </c:pt>
                <c:pt idx="40">
                  <c:v>46055</c:v>
                </c:pt>
                <c:pt idx="41">
                  <c:v>46056</c:v>
                </c:pt>
                <c:pt idx="42">
                  <c:v>46057</c:v>
                </c:pt>
                <c:pt idx="43">
                  <c:v>46058</c:v>
                </c:pt>
                <c:pt idx="44">
                  <c:v>46059</c:v>
                </c:pt>
                <c:pt idx="45">
                  <c:v>46062</c:v>
                </c:pt>
                <c:pt idx="46">
                  <c:v>46063</c:v>
                </c:pt>
                <c:pt idx="47">
                  <c:v>46064</c:v>
                </c:pt>
                <c:pt idx="48">
                  <c:v>46065</c:v>
                </c:pt>
                <c:pt idx="49">
                  <c:v>46066</c:v>
                </c:pt>
              </c:numCache>
            </c:numRef>
          </c:xVal>
          <c:yVal>
            <c:numRef>
              <c:f>Sheet5!$C$2:$C$51</c:f>
              <c:numCache>
                <c:formatCode>General</c:formatCode>
                <c:ptCount val="50"/>
                <c:pt idx="0">
                  <c:v>0</c:v>
                </c:pt>
                <c:pt idx="1">
                  <c:v>-0.93600764087870825</c:v>
                </c:pt>
                <c:pt idx="2">
                  <c:v>-2.1394460362941756</c:v>
                </c:pt>
                <c:pt idx="3">
                  <c:v>-1.0697230181470878</c:v>
                </c:pt>
                <c:pt idx="4">
                  <c:v>-1.0697230181470878</c:v>
                </c:pt>
                <c:pt idx="5">
                  <c:v>-0.17191977077364548</c:v>
                </c:pt>
                <c:pt idx="6">
                  <c:v>1.2225405921681003</c:v>
                </c:pt>
                <c:pt idx="7">
                  <c:v>2.6170009551098294</c:v>
                </c:pt>
                <c:pt idx="8">
                  <c:v>2.9799426934097362</c:v>
                </c:pt>
                <c:pt idx="9">
                  <c:v>3.8777459407831785</c:v>
                </c:pt>
                <c:pt idx="10">
                  <c:v>3.6485195797516683</c:v>
                </c:pt>
                <c:pt idx="11">
                  <c:v>4.4508118433619801</c:v>
                </c:pt>
                <c:pt idx="12">
                  <c:v>4.5845272206303589</c:v>
                </c:pt>
                <c:pt idx="13">
                  <c:v>4.2788920725883344</c:v>
                </c:pt>
                <c:pt idx="14">
                  <c:v>4.6227316141356249</c:v>
                </c:pt>
                <c:pt idx="15">
                  <c:v>4.9474689589302665</c:v>
                </c:pt>
                <c:pt idx="16">
                  <c:v>5.1002865329512783</c:v>
                </c:pt>
                <c:pt idx="17">
                  <c:v>4.0305635148041912</c:v>
                </c:pt>
                <c:pt idx="18">
                  <c:v>5.1766953199617936</c:v>
                </c:pt>
                <c:pt idx="19">
                  <c:v>2.6361031518624625</c:v>
                </c:pt>
                <c:pt idx="20">
                  <c:v>4.5845272206303589</c:v>
                </c:pt>
                <c:pt idx="21">
                  <c:v>7.8892072588347535</c:v>
                </c:pt>
                <c:pt idx="22">
                  <c:v>8.5004775549188025</c:v>
                </c:pt>
                <c:pt idx="23">
                  <c:v>7.5453677172874798</c:v>
                </c:pt>
                <c:pt idx="24">
                  <c:v>8.0038204393505179</c:v>
                </c:pt>
                <c:pt idx="25">
                  <c:v>10.850047755491874</c:v>
                </c:pt>
                <c:pt idx="26">
                  <c:v>10.296084049665705</c:v>
                </c:pt>
                <c:pt idx="27">
                  <c:v>10.525310410697216</c:v>
                </c:pt>
                <c:pt idx="28">
                  <c:v>9.3982808022922626</c:v>
                </c:pt>
                <c:pt idx="29">
                  <c:v>8.9589302769818406</c:v>
                </c:pt>
                <c:pt idx="30">
                  <c:v>10.754536771728743</c:v>
                </c:pt>
                <c:pt idx="31">
                  <c:v>13.08500477554918</c:v>
                </c:pt>
                <c:pt idx="32">
                  <c:v>12.129894937917856</c:v>
                </c:pt>
                <c:pt idx="33">
                  <c:v>13.46704871060172</c:v>
                </c:pt>
                <c:pt idx="34">
                  <c:v>14.460362941738293</c:v>
                </c:pt>
                <c:pt idx="35">
                  <c:v>17.917860553963699</c:v>
                </c:pt>
                <c:pt idx="36">
                  <c:v>18.94937917860554</c:v>
                </c:pt>
                <c:pt idx="37">
                  <c:v>25.253104106972302</c:v>
                </c:pt>
                <c:pt idx="38">
                  <c:v>22.674307545367704</c:v>
                </c:pt>
                <c:pt idx="39">
                  <c:v>13.390639923591205</c:v>
                </c:pt>
                <c:pt idx="40">
                  <c:v>10.105062082139444</c:v>
                </c:pt>
                <c:pt idx="41">
                  <c:v>18.14708691499521</c:v>
                </c:pt>
                <c:pt idx="42">
                  <c:v>16.542502387774586</c:v>
                </c:pt>
                <c:pt idx="43">
                  <c:v>14.670487106017188</c:v>
                </c:pt>
                <c:pt idx="44">
                  <c:v>18.395415472779369</c:v>
                </c:pt>
                <c:pt idx="45">
                  <c:v>21.56638013371537</c:v>
                </c:pt>
                <c:pt idx="46">
                  <c:v>20.343839541547268</c:v>
                </c:pt>
                <c:pt idx="47">
                  <c:v>21.279847182425975</c:v>
                </c:pt>
                <c:pt idx="48">
                  <c:v>17.745940783190054</c:v>
                </c:pt>
                <c:pt idx="49">
                  <c:v>19.407831900668576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Sheet5!$D$1</c:f>
              <c:strCache>
                <c:ptCount val="1"/>
                <c:pt idx="0">
                  <c:v>LQDT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Sheet5!$A$2:$A$51</c:f>
              <c:numCache>
                <c:formatCode>m/d/yyyy</c:formatCode>
                <c:ptCount val="50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46016</c:v>
                </c:pt>
                <c:pt idx="18">
                  <c:v>46017</c:v>
                </c:pt>
                <c:pt idx="19">
                  <c:v>46020</c:v>
                </c:pt>
                <c:pt idx="20">
                  <c:v>46021</c:v>
                </c:pt>
                <c:pt idx="21">
                  <c:v>46027</c:v>
                </c:pt>
                <c:pt idx="22">
                  <c:v>46028</c:v>
                </c:pt>
                <c:pt idx="23">
                  <c:v>46030</c:v>
                </c:pt>
                <c:pt idx="24">
                  <c:v>46031</c:v>
                </c:pt>
                <c:pt idx="25">
                  <c:v>46034</c:v>
                </c:pt>
                <c:pt idx="26">
                  <c:v>46035</c:v>
                </c:pt>
                <c:pt idx="27">
                  <c:v>46036</c:v>
                </c:pt>
                <c:pt idx="28">
                  <c:v>46037</c:v>
                </c:pt>
                <c:pt idx="29">
                  <c:v>46038</c:v>
                </c:pt>
                <c:pt idx="30">
                  <c:v>46041</c:v>
                </c:pt>
                <c:pt idx="31">
                  <c:v>46042</c:v>
                </c:pt>
                <c:pt idx="32">
                  <c:v>46043</c:v>
                </c:pt>
                <c:pt idx="33">
                  <c:v>46044</c:v>
                </c:pt>
                <c:pt idx="34">
                  <c:v>46045</c:v>
                </c:pt>
                <c:pt idx="35">
                  <c:v>46048</c:v>
                </c:pt>
                <c:pt idx="36">
                  <c:v>46049</c:v>
                </c:pt>
                <c:pt idx="37">
                  <c:v>46050</c:v>
                </c:pt>
                <c:pt idx="38">
                  <c:v>46051</c:v>
                </c:pt>
                <c:pt idx="39">
                  <c:v>46052</c:v>
                </c:pt>
                <c:pt idx="40">
                  <c:v>46055</c:v>
                </c:pt>
                <c:pt idx="41">
                  <c:v>46056</c:v>
                </c:pt>
                <c:pt idx="42">
                  <c:v>46057</c:v>
                </c:pt>
                <c:pt idx="43">
                  <c:v>46058</c:v>
                </c:pt>
                <c:pt idx="44">
                  <c:v>46059</c:v>
                </c:pt>
                <c:pt idx="45">
                  <c:v>46062</c:v>
                </c:pt>
                <c:pt idx="46">
                  <c:v>46063</c:v>
                </c:pt>
                <c:pt idx="47">
                  <c:v>46064</c:v>
                </c:pt>
                <c:pt idx="48">
                  <c:v>46065</c:v>
                </c:pt>
                <c:pt idx="49">
                  <c:v>46066</c:v>
                </c:pt>
              </c:numCache>
            </c:numRef>
          </c:xVal>
          <c:yVal>
            <c:numRef>
              <c:f>Sheet5!$D$2:$D$51</c:f>
              <c:numCache>
                <c:formatCode>General</c:formatCode>
                <c:ptCount val="50"/>
                <c:pt idx="0">
                  <c:v>0</c:v>
                </c:pt>
                <c:pt idx="1">
                  <c:v>4.2969169620804271E-2</c:v>
                </c:pt>
                <c:pt idx="2">
                  <c:v>8.0567193038997578E-2</c:v>
                </c:pt>
                <c:pt idx="3">
                  <c:v>0.20947470190138656</c:v>
                </c:pt>
                <c:pt idx="4">
                  <c:v>0.24707272531959176</c:v>
                </c:pt>
                <c:pt idx="5">
                  <c:v>0.29541304114298317</c:v>
                </c:pt>
                <c:pt idx="6">
                  <c:v>0.34375335696638648</c:v>
                </c:pt>
                <c:pt idx="7">
                  <c:v>0.38672252658717882</c:v>
                </c:pt>
                <c:pt idx="8">
                  <c:v>0.51563003544956787</c:v>
                </c:pt>
                <c:pt idx="9">
                  <c:v>0.55322805886777304</c:v>
                </c:pt>
                <c:pt idx="10">
                  <c:v>0.59619722848856538</c:v>
                </c:pt>
                <c:pt idx="11">
                  <c:v>0.63916639810935771</c:v>
                </c:pt>
                <c:pt idx="12">
                  <c:v>0.68213556773016204</c:v>
                </c:pt>
                <c:pt idx="13">
                  <c:v>0.80567193038995188</c:v>
                </c:pt>
                <c:pt idx="14">
                  <c:v>0.85401224621334326</c:v>
                </c:pt>
                <c:pt idx="15">
                  <c:v>0.8969814158341477</c:v>
                </c:pt>
                <c:pt idx="16">
                  <c:v>0.93995058545493992</c:v>
                </c:pt>
                <c:pt idx="17">
                  <c:v>0.98291975507574425</c:v>
                </c:pt>
                <c:pt idx="18">
                  <c:v>1.111827263938133</c:v>
                </c:pt>
                <c:pt idx="19">
                  <c:v>1.1547964335589256</c:v>
                </c:pt>
                <c:pt idx="20">
                  <c:v>1.4179825974863145</c:v>
                </c:pt>
                <c:pt idx="21">
                  <c:v>1.4609517671071068</c:v>
                </c:pt>
                <c:pt idx="22">
                  <c:v>1.5468901063487033</c:v>
                </c:pt>
                <c:pt idx="23">
                  <c:v>1.5844881297668967</c:v>
                </c:pt>
                <c:pt idx="24">
                  <c:v>1.7187667848318846</c:v>
                </c:pt>
                <c:pt idx="25">
                  <c:v>1.7617359544526892</c:v>
                </c:pt>
                <c:pt idx="26">
                  <c:v>1.8047051240734813</c:v>
                </c:pt>
                <c:pt idx="27">
                  <c:v>1.8530454398968845</c:v>
                </c:pt>
                <c:pt idx="28">
                  <c:v>1.8960146095176771</c:v>
                </c:pt>
                <c:pt idx="29">
                  <c:v>2.0249221183800659</c:v>
                </c:pt>
                <c:pt idx="30">
                  <c:v>2.0678912880008702</c:v>
                </c:pt>
                <c:pt idx="31">
                  <c:v>2.1108604576216625</c:v>
                </c:pt>
                <c:pt idx="32">
                  <c:v>2.1538296272424549</c:v>
                </c:pt>
                <c:pt idx="33">
                  <c:v>2.2021699430658583</c:v>
                </c:pt>
                <c:pt idx="34">
                  <c:v>2.3310774519282473</c:v>
                </c:pt>
                <c:pt idx="35">
                  <c:v>2.3686754753464405</c:v>
                </c:pt>
                <c:pt idx="36">
                  <c:v>2.417015791169844</c:v>
                </c:pt>
                <c:pt idx="37">
                  <c:v>2.4599849607906359</c:v>
                </c:pt>
                <c:pt idx="38">
                  <c:v>2.5029541304114407</c:v>
                </c:pt>
                <c:pt idx="39">
                  <c:v>2.6318616392738297</c:v>
                </c:pt>
                <c:pt idx="40">
                  <c:v>2.6748308088946215</c:v>
                </c:pt>
                <c:pt idx="41">
                  <c:v>2.7177999785154263</c:v>
                </c:pt>
                <c:pt idx="42">
                  <c:v>2.7553980019336195</c:v>
                </c:pt>
                <c:pt idx="43">
                  <c:v>2.8037383177570105</c:v>
                </c:pt>
                <c:pt idx="44">
                  <c:v>2.932645826619412</c:v>
                </c:pt>
                <c:pt idx="45">
                  <c:v>2.9756149962402039</c:v>
                </c:pt>
                <c:pt idx="46">
                  <c:v>3.0239553120635954</c:v>
                </c:pt>
                <c:pt idx="47">
                  <c:v>3.0615533354818005</c:v>
                </c:pt>
                <c:pt idx="48">
                  <c:v>3.109893651305192</c:v>
                </c:pt>
                <c:pt idx="49">
                  <c:v>3.2334300139649823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Sheet5!$E$1</c:f>
              <c:strCache>
                <c:ptCount val="1"/>
                <c:pt idx="0">
                  <c:v>OBLG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Sheet5!$A$2:$A$51</c:f>
              <c:numCache>
                <c:formatCode>m/d/yyyy</c:formatCode>
                <c:ptCount val="50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46016</c:v>
                </c:pt>
                <c:pt idx="18">
                  <c:v>46017</c:v>
                </c:pt>
                <c:pt idx="19">
                  <c:v>46020</c:v>
                </c:pt>
                <c:pt idx="20">
                  <c:v>46021</c:v>
                </c:pt>
                <c:pt idx="21">
                  <c:v>46027</c:v>
                </c:pt>
                <c:pt idx="22">
                  <c:v>46028</c:v>
                </c:pt>
                <c:pt idx="23">
                  <c:v>46030</c:v>
                </c:pt>
                <c:pt idx="24">
                  <c:v>46031</c:v>
                </c:pt>
                <c:pt idx="25">
                  <c:v>46034</c:v>
                </c:pt>
                <c:pt idx="26">
                  <c:v>46035</c:v>
                </c:pt>
                <c:pt idx="27">
                  <c:v>46036</c:v>
                </c:pt>
                <c:pt idx="28">
                  <c:v>46037</c:v>
                </c:pt>
                <c:pt idx="29">
                  <c:v>46038</c:v>
                </c:pt>
                <c:pt idx="30">
                  <c:v>46041</c:v>
                </c:pt>
                <c:pt idx="31">
                  <c:v>46042</c:v>
                </c:pt>
                <c:pt idx="32">
                  <c:v>46043</c:v>
                </c:pt>
                <c:pt idx="33">
                  <c:v>46044</c:v>
                </c:pt>
                <c:pt idx="34">
                  <c:v>46045</c:v>
                </c:pt>
                <c:pt idx="35">
                  <c:v>46048</c:v>
                </c:pt>
                <c:pt idx="36">
                  <c:v>46049</c:v>
                </c:pt>
                <c:pt idx="37">
                  <c:v>46050</c:v>
                </c:pt>
                <c:pt idx="38">
                  <c:v>46051</c:v>
                </c:pt>
                <c:pt idx="39">
                  <c:v>46052</c:v>
                </c:pt>
                <c:pt idx="40">
                  <c:v>46055</c:v>
                </c:pt>
                <c:pt idx="41">
                  <c:v>46056</c:v>
                </c:pt>
                <c:pt idx="42">
                  <c:v>46057</c:v>
                </c:pt>
                <c:pt idx="43">
                  <c:v>46058</c:v>
                </c:pt>
                <c:pt idx="44">
                  <c:v>46059</c:v>
                </c:pt>
                <c:pt idx="45">
                  <c:v>46062</c:v>
                </c:pt>
                <c:pt idx="46">
                  <c:v>46063</c:v>
                </c:pt>
                <c:pt idx="47">
                  <c:v>46064</c:v>
                </c:pt>
                <c:pt idx="48">
                  <c:v>46065</c:v>
                </c:pt>
                <c:pt idx="49">
                  <c:v>46066</c:v>
                </c:pt>
              </c:numCache>
            </c:numRef>
          </c:xVal>
          <c:yVal>
            <c:numRef>
              <c:f>Sheet5!$E$2:$E$51</c:f>
              <c:numCache>
                <c:formatCode>General</c:formatCode>
                <c:ptCount val="50"/>
                <c:pt idx="0">
                  <c:v>0</c:v>
                </c:pt>
                <c:pt idx="1">
                  <c:v>3.2047858134815872E-2</c:v>
                </c:pt>
                <c:pt idx="2">
                  <c:v>-2.1365238756538854E-2</c:v>
                </c:pt>
                <c:pt idx="3">
                  <c:v>0.21365238756543406</c:v>
                </c:pt>
                <c:pt idx="4">
                  <c:v>0.11750881316098646</c:v>
                </c:pt>
                <c:pt idx="5">
                  <c:v>0.14955667129580233</c:v>
                </c:pt>
                <c:pt idx="6">
                  <c:v>0.50208311077876178</c:v>
                </c:pt>
                <c:pt idx="7">
                  <c:v>0.48071787202222288</c:v>
                </c:pt>
                <c:pt idx="8">
                  <c:v>0.74778335647901173</c:v>
                </c:pt>
                <c:pt idx="9">
                  <c:v>0.9080226471530759</c:v>
                </c:pt>
                <c:pt idx="10">
                  <c:v>0.92938788590962995</c:v>
                </c:pt>
                <c:pt idx="11">
                  <c:v>1.0362140796923394</c:v>
                </c:pt>
                <c:pt idx="12">
                  <c:v>1.2498664672577735</c:v>
                </c:pt>
                <c:pt idx="13">
                  <c:v>1.0575793184488782</c:v>
                </c:pt>
                <c:pt idx="14">
                  <c:v>0.95075312466616868</c:v>
                </c:pt>
                <c:pt idx="15">
                  <c:v>0.68368764020938</c:v>
                </c:pt>
                <c:pt idx="16">
                  <c:v>0.70505287896591884</c:v>
                </c:pt>
                <c:pt idx="17">
                  <c:v>1.0148488409358005</c:v>
                </c:pt>
                <c:pt idx="18">
                  <c:v>1.2925969447708512</c:v>
                </c:pt>
                <c:pt idx="19">
                  <c:v>1.6130755261190097</c:v>
                </c:pt>
                <c:pt idx="20">
                  <c:v>2.1899369725456652</c:v>
                </c:pt>
                <c:pt idx="21">
                  <c:v>2.4890503151372698</c:v>
                </c:pt>
                <c:pt idx="22">
                  <c:v>2.499732934515547</c:v>
                </c:pt>
                <c:pt idx="23">
                  <c:v>2.4570024570024542</c:v>
                </c:pt>
                <c:pt idx="24">
                  <c:v>2.6172417476765331</c:v>
                </c:pt>
                <c:pt idx="25">
                  <c:v>2.3822241213545605</c:v>
                </c:pt>
                <c:pt idx="26">
                  <c:v>2.3715415019762833</c:v>
                </c:pt>
                <c:pt idx="27">
                  <c:v>2.2540326888152973</c:v>
                </c:pt>
                <c:pt idx="28">
                  <c:v>2.2967631663283901</c:v>
                </c:pt>
                <c:pt idx="29">
                  <c:v>2.1792543531674031</c:v>
                </c:pt>
                <c:pt idx="30">
                  <c:v>2.2967631663283901</c:v>
                </c:pt>
                <c:pt idx="31">
                  <c:v>2.3715415019762833</c:v>
                </c:pt>
                <c:pt idx="32">
                  <c:v>2.2967631663283901</c:v>
                </c:pt>
                <c:pt idx="33">
                  <c:v>2.3501762632197445</c:v>
                </c:pt>
                <c:pt idx="34">
                  <c:v>2.4142719794893761</c:v>
                </c:pt>
                <c:pt idx="35">
                  <c:v>2.4783676957590082</c:v>
                </c:pt>
                <c:pt idx="36">
                  <c:v>2.7881636577288744</c:v>
                </c:pt>
                <c:pt idx="37">
                  <c:v>2.73475056083752</c:v>
                </c:pt>
                <c:pt idx="38">
                  <c:v>2.7240679414592428</c:v>
                </c:pt>
                <c:pt idx="39">
                  <c:v>2.7988462771071516</c:v>
                </c:pt>
                <c:pt idx="40">
                  <c:v>2.6599722251896112</c:v>
                </c:pt>
                <c:pt idx="41">
                  <c:v>2.9270377096464002</c:v>
                </c:pt>
                <c:pt idx="42">
                  <c:v>3.1941031941031888</c:v>
                </c:pt>
                <c:pt idx="43">
                  <c:v>3.0018160452943086</c:v>
                </c:pt>
                <c:pt idx="44">
                  <c:v>3.2688815297510976</c:v>
                </c:pt>
                <c:pt idx="45">
                  <c:v>3.2154684328597432</c:v>
                </c:pt>
                <c:pt idx="46">
                  <c:v>3.3009293878859132</c:v>
                </c:pt>
                <c:pt idx="47">
                  <c:v>3.3009293878859132</c:v>
                </c:pt>
                <c:pt idx="48">
                  <c:v>3.3650251041555452</c:v>
                </c:pt>
                <c:pt idx="49">
                  <c:v>3.6427732079905955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Sheet5!$F$1</c:f>
              <c:strCache>
                <c:ptCount val="1"/>
                <c:pt idx="0">
                  <c:v>Strategy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Sheet5!$A$2:$A$51</c:f>
              <c:numCache>
                <c:formatCode>m/d/yyyy</c:formatCode>
                <c:ptCount val="50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45999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46016</c:v>
                </c:pt>
                <c:pt idx="18">
                  <c:v>46017</c:v>
                </c:pt>
                <c:pt idx="19">
                  <c:v>46020</c:v>
                </c:pt>
                <c:pt idx="20">
                  <c:v>46021</c:v>
                </c:pt>
                <c:pt idx="21">
                  <c:v>46027</c:v>
                </c:pt>
                <c:pt idx="22">
                  <c:v>46028</c:v>
                </c:pt>
                <c:pt idx="23">
                  <c:v>46030</c:v>
                </c:pt>
                <c:pt idx="24">
                  <c:v>46031</c:v>
                </c:pt>
                <c:pt idx="25">
                  <c:v>46034</c:v>
                </c:pt>
                <c:pt idx="26">
                  <c:v>46035</c:v>
                </c:pt>
                <c:pt idx="27">
                  <c:v>46036</c:v>
                </c:pt>
                <c:pt idx="28">
                  <c:v>46037</c:v>
                </c:pt>
                <c:pt idx="29">
                  <c:v>46038</c:v>
                </c:pt>
                <c:pt idx="30">
                  <c:v>46041</c:v>
                </c:pt>
                <c:pt idx="31">
                  <c:v>46042</c:v>
                </c:pt>
                <c:pt idx="32">
                  <c:v>46043</c:v>
                </c:pt>
                <c:pt idx="33">
                  <c:v>46044</c:v>
                </c:pt>
                <c:pt idx="34">
                  <c:v>46045</c:v>
                </c:pt>
                <c:pt idx="35">
                  <c:v>46048</c:v>
                </c:pt>
                <c:pt idx="36">
                  <c:v>46049</c:v>
                </c:pt>
                <c:pt idx="37">
                  <c:v>46050</c:v>
                </c:pt>
                <c:pt idx="38">
                  <c:v>46051</c:v>
                </c:pt>
                <c:pt idx="39">
                  <c:v>46052</c:v>
                </c:pt>
                <c:pt idx="40">
                  <c:v>46055</c:v>
                </c:pt>
                <c:pt idx="41">
                  <c:v>46056</c:v>
                </c:pt>
                <c:pt idx="42">
                  <c:v>46057</c:v>
                </c:pt>
                <c:pt idx="43">
                  <c:v>46058</c:v>
                </c:pt>
                <c:pt idx="44">
                  <c:v>46059</c:v>
                </c:pt>
                <c:pt idx="45">
                  <c:v>46062</c:v>
                </c:pt>
                <c:pt idx="46">
                  <c:v>46063</c:v>
                </c:pt>
                <c:pt idx="47">
                  <c:v>46064</c:v>
                </c:pt>
                <c:pt idx="48">
                  <c:v>46065</c:v>
                </c:pt>
                <c:pt idx="49">
                  <c:v>46066</c:v>
                </c:pt>
              </c:numCache>
            </c:numRef>
          </c:xVal>
          <c:yVal>
            <c:numRef>
              <c:f>Sheet5!$F$2:$F$51</c:f>
              <c:numCache>
                <c:formatCode>General</c:formatCode>
                <c:ptCount val="50"/>
                <c:pt idx="0">
                  <c:v>0</c:v>
                </c:pt>
                <c:pt idx="4">
                  <c:v>0.11549634386299557</c:v>
                </c:pt>
                <c:pt idx="5">
                  <c:v>0.16175993305034636</c:v>
                </c:pt>
                <c:pt idx="6">
                  <c:v>0.12376983460682511</c:v>
                </c:pt>
                <c:pt idx="7">
                  <c:v>0.10047298812782604</c:v>
                </c:pt>
                <c:pt idx="8">
                  <c:v>-1.6041350336778726</c:v>
                </c:pt>
                <c:pt idx="11">
                  <c:v>-1.3244211493342988</c:v>
                </c:pt>
                <c:pt idx="12">
                  <c:v>-1.2000849899099064</c:v>
                </c:pt>
                <c:pt idx="13">
                  <c:v>-1.3897014413393642</c:v>
                </c:pt>
                <c:pt idx="19">
                  <c:v>-2.9451392033518551</c:v>
                </c:pt>
                <c:pt idx="33">
                  <c:v>-2.2430687498007509</c:v>
                </c:pt>
                <c:pt idx="36">
                  <c:v>2.4781441246206191</c:v>
                </c:pt>
                <c:pt idx="38">
                  <c:v>2.4121833342919858</c:v>
                </c:pt>
                <c:pt idx="40">
                  <c:v>2.5818457699035484</c:v>
                </c:pt>
                <c:pt idx="41">
                  <c:v>2.7575036773938555</c:v>
                </c:pt>
                <c:pt idx="48">
                  <c:v>3.1476754318091134</c:v>
                </c:pt>
                <c:pt idx="49">
                  <c:v>3.4227608978709774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624496"/>
        <c:axId val="1039635920"/>
      </c:scatterChart>
      <c:valAx>
        <c:axId val="1039624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635920"/>
        <c:crosses val="autoZero"/>
        <c:crossBetween val="midCat"/>
      </c:valAx>
      <c:valAx>
        <c:axId val="103963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624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</xdr:row>
      <xdr:rowOff>123825</xdr:rowOff>
    </xdr:from>
    <xdr:to>
      <xdr:col>22</xdr:col>
      <xdr:colOff>171450</xdr:colOff>
      <xdr:row>32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J11" sqref="J11"/>
    </sheetView>
  </sheetViews>
  <sheetFormatPr defaultRowHeight="15" x14ac:dyDescent="0.25"/>
  <cols>
    <col min="1" max="1" width="10.7109375" bestFit="1" customWidth="1"/>
    <col min="10" max="10" width="13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 s="1">
        <v>45993</v>
      </c>
      <c r="B2" t="s">
        <v>10</v>
      </c>
      <c r="C2" t="s">
        <v>12</v>
      </c>
      <c r="D2">
        <v>187.22</v>
      </c>
      <c r="E2">
        <v>187.22</v>
      </c>
      <c r="F2">
        <v>17636.96</v>
      </c>
      <c r="G2">
        <v>17636.96</v>
      </c>
      <c r="H2">
        <v>0</v>
      </c>
      <c r="I2">
        <v>3301991.97</v>
      </c>
      <c r="J2">
        <v>3301991.97</v>
      </c>
    </row>
    <row r="3" spans="1:11" x14ac:dyDescent="0.25">
      <c r="A3" s="1">
        <v>45999</v>
      </c>
      <c r="B3" t="s">
        <v>10</v>
      </c>
      <c r="C3" t="s">
        <v>13</v>
      </c>
      <c r="D3">
        <v>1.87</v>
      </c>
      <c r="E3">
        <v>1.87</v>
      </c>
      <c r="F3">
        <v>1771220.35</v>
      </c>
      <c r="G3">
        <v>1771220.35</v>
      </c>
      <c r="H3">
        <v>0</v>
      </c>
      <c r="I3">
        <v>3305805.65</v>
      </c>
      <c r="J3">
        <v>3305805.65</v>
      </c>
      <c r="K3">
        <f>(J3-$J$2)/$J$2*100</f>
        <v>0.11549634386299557</v>
      </c>
    </row>
    <row r="4" spans="1:11" x14ac:dyDescent="0.25">
      <c r="A4" s="1">
        <v>46000</v>
      </c>
      <c r="B4" t="s">
        <v>10</v>
      </c>
      <c r="C4" t="s">
        <v>14</v>
      </c>
      <c r="D4">
        <v>139.19999999999999</v>
      </c>
      <c r="E4">
        <v>139.19999999999999</v>
      </c>
      <c r="F4">
        <v>23759.58</v>
      </c>
      <c r="G4">
        <v>23759.58</v>
      </c>
      <c r="H4">
        <v>0</v>
      </c>
      <c r="I4">
        <v>3307333.27</v>
      </c>
      <c r="J4">
        <v>3307333.27</v>
      </c>
      <c r="K4">
        <f t="shared" ref="K4:K18" si="0">(J4-$J$2)/$J$2*100</f>
        <v>0.16175993305034636</v>
      </c>
    </row>
    <row r="5" spans="1:11" x14ac:dyDescent="0.25">
      <c r="A5" s="1">
        <v>46001</v>
      </c>
      <c r="B5" t="s">
        <v>10</v>
      </c>
      <c r="C5" t="s">
        <v>12</v>
      </c>
      <c r="D5">
        <v>188.16</v>
      </c>
      <c r="E5">
        <v>188.16</v>
      </c>
      <c r="F5">
        <v>17570.57</v>
      </c>
      <c r="G5">
        <v>17570.57</v>
      </c>
      <c r="H5">
        <v>0</v>
      </c>
      <c r="I5">
        <v>3306078.84</v>
      </c>
      <c r="J5">
        <v>3306078.84</v>
      </c>
      <c r="K5">
        <f t="shared" si="0"/>
        <v>0.12376983460682511</v>
      </c>
    </row>
    <row r="6" spans="1:11" x14ac:dyDescent="0.25">
      <c r="A6" s="1">
        <v>46002</v>
      </c>
      <c r="B6" t="s">
        <v>10</v>
      </c>
      <c r="C6" t="s">
        <v>14</v>
      </c>
      <c r="D6">
        <v>141.1</v>
      </c>
      <c r="E6">
        <v>141.1</v>
      </c>
      <c r="F6">
        <v>23425.3</v>
      </c>
      <c r="G6">
        <v>23425.3</v>
      </c>
      <c r="H6">
        <v>0</v>
      </c>
      <c r="I6">
        <v>3305309.58</v>
      </c>
      <c r="J6">
        <v>3305309.58</v>
      </c>
      <c r="K6">
        <f t="shared" si="0"/>
        <v>0.10047298812782604</v>
      </c>
    </row>
    <row r="7" spans="1:11" x14ac:dyDescent="0.25">
      <c r="A7" s="1">
        <v>46003</v>
      </c>
      <c r="B7" t="s">
        <v>10</v>
      </c>
      <c r="C7" t="s">
        <v>12</v>
      </c>
      <c r="D7">
        <v>188.62</v>
      </c>
      <c r="E7">
        <v>188.62</v>
      </c>
      <c r="F7">
        <v>17225.23</v>
      </c>
      <c r="G7">
        <v>17225.23</v>
      </c>
      <c r="H7">
        <v>0</v>
      </c>
      <c r="I7">
        <v>3249023.56</v>
      </c>
      <c r="J7">
        <v>3249023.56</v>
      </c>
      <c r="K7">
        <f t="shared" si="0"/>
        <v>-1.6041350336778726</v>
      </c>
    </row>
    <row r="8" spans="1:11" x14ac:dyDescent="0.25">
      <c r="A8" s="1">
        <v>46008</v>
      </c>
      <c r="B8" t="s">
        <v>10</v>
      </c>
      <c r="C8" t="s">
        <v>11</v>
      </c>
      <c r="D8">
        <v>2.73</v>
      </c>
      <c r="E8">
        <v>2.73</v>
      </c>
      <c r="F8">
        <v>1191755.56</v>
      </c>
      <c r="G8">
        <v>1191755.56</v>
      </c>
      <c r="H8">
        <v>0</v>
      </c>
      <c r="I8">
        <v>3258259.69</v>
      </c>
      <c r="J8">
        <v>3258259.69</v>
      </c>
      <c r="K8">
        <f t="shared" si="0"/>
        <v>-1.3244211493342988</v>
      </c>
    </row>
    <row r="9" spans="1:11" x14ac:dyDescent="0.25">
      <c r="A9" s="1">
        <v>46009</v>
      </c>
      <c r="B9" t="s">
        <v>10</v>
      </c>
      <c r="C9" t="s">
        <v>12</v>
      </c>
      <c r="D9">
        <v>189.56</v>
      </c>
      <c r="E9">
        <v>189.56</v>
      </c>
      <c r="F9">
        <v>17210.2</v>
      </c>
      <c r="G9">
        <v>17210.2</v>
      </c>
      <c r="H9">
        <v>0</v>
      </c>
      <c r="I9">
        <v>3262365.26</v>
      </c>
      <c r="J9">
        <v>3262365.26</v>
      </c>
      <c r="K9">
        <f t="shared" si="0"/>
        <v>-1.2000849899099064</v>
      </c>
    </row>
    <row r="10" spans="1:11" x14ac:dyDescent="0.25">
      <c r="A10" s="1">
        <v>46010</v>
      </c>
      <c r="B10" t="s">
        <v>10</v>
      </c>
      <c r="C10" t="s">
        <v>11</v>
      </c>
      <c r="D10">
        <v>2.73</v>
      </c>
      <c r="E10">
        <v>2.73</v>
      </c>
      <c r="F10">
        <v>1192930.6299999999</v>
      </c>
      <c r="G10">
        <v>1192930.6299999999</v>
      </c>
      <c r="H10">
        <v>0</v>
      </c>
      <c r="I10">
        <v>3256104.14</v>
      </c>
      <c r="J10">
        <v>3256104.14</v>
      </c>
      <c r="K10">
        <f t="shared" si="0"/>
        <v>-1.3897014413393642</v>
      </c>
    </row>
    <row r="11" spans="1:11" x14ac:dyDescent="0.25">
      <c r="A11" s="1">
        <v>46020</v>
      </c>
      <c r="B11" t="s">
        <v>10</v>
      </c>
      <c r="C11" t="s">
        <v>12</v>
      </c>
      <c r="D11">
        <v>190.24</v>
      </c>
      <c r="E11">
        <v>190.24</v>
      </c>
      <c r="F11">
        <v>16845.79</v>
      </c>
      <c r="G11">
        <v>16845.79</v>
      </c>
      <c r="H11">
        <v>0</v>
      </c>
      <c r="I11">
        <v>3204743.71</v>
      </c>
      <c r="J11">
        <v>3204743.71</v>
      </c>
      <c r="K11">
        <f t="shared" si="0"/>
        <v>-2.9451392033518551</v>
      </c>
    </row>
    <row r="12" spans="1:11" x14ac:dyDescent="0.25">
      <c r="A12" s="1">
        <v>46044</v>
      </c>
      <c r="B12" t="s">
        <v>10</v>
      </c>
      <c r="C12" t="s">
        <v>11</v>
      </c>
      <c r="D12">
        <v>2.97</v>
      </c>
      <c r="E12">
        <v>2.97</v>
      </c>
      <c r="F12">
        <v>1086843.78</v>
      </c>
      <c r="G12">
        <v>1086843.78</v>
      </c>
      <c r="H12">
        <v>0</v>
      </c>
      <c r="I12">
        <v>3227926.02</v>
      </c>
      <c r="J12">
        <v>3227926.02</v>
      </c>
      <c r="K12">
        <f t="shared" si="0"/>
        <v>-2.2430687498007509</v>
      </c>
    </row>
    <row r="13" spans="1:11" x14ac:dyDescent="0.25">
      <c r="A13" s="1">
        <v>46049</v>
      </c>
      <c r="B13" t="s">
        <v>10</v>
      </c>
      <c r="C13" t="s">
        <v>12</v>
      </c>
      <c r="D13">
        <v>192.44</v>
      </c>
      <c r="E13">
        <v>192.44</v>
      </c>
      <c r="F13">
        <v>17583.77</v>
      </c>
      <c r="G13">
        <v>17583.77</v>
      </c>
      <c r="H13">
        <v>0</v>
      </c>
      <c r="I13">
        <v>3383820.09</v>
      </c>
      <c r="J13">
        <v>3383820.09</v>
      </c>
      <c r="K13">
        <f t="shared" si="0"/>
        <v>2.4781441246206191</v>
      </c>
    </row>
    <row r="14" spans="1:11" x14ac:dyDescent="0.25">
      <c r="A14" s="1">
        <v>46051</v>
      </c>
      <c r="B14" t="s">
        <v>10</v>
      </c>
      <c r="C14" t="s">
        <v>13</v>
      </c>
      <c r="D14">
        <v>1.91</v>
      </c>
      <c r="E14">
        <v>1.91</v>
      </c>
      <c r="F14">
        <v>1771977.61</v>
      </c>
      <c r="G14">
        <v>1771977.61</v>
      </c>
      <c r="H14">
        <v>0</v>
      </c>
      <c r="I14">
        <v>3381642.07</v>
      </c>
      <c r="J14">
        <v>3381642.07</v>
      </c>
      <c r="K14">
        <f t="shared" si="0"/>
        <v>2.4121833342919858</v>
      </c>
    </row>
    <row r="15" spans="1:11" x14ac:dyDescent="0.25">
      <c r="A15" s="1">
        <v>46055</v>
      </c>
      <c r="B15" t="s">
        <v>10</v>
      </c>
      <c r="C15" t="s">
        <v>14</v>
      </c>
      <c r="D15">
        <v>144.30000000000001</v>
      </c>
      <c r="E15">
        <v>144.30000000000001</v>
      </c>
      <c r="F15">
        <v>23473.63</v>
      </c>
      <c r="G15">
        <v>23473.63</v>
      </c>
      <c r="H15">
        <v>0</v>
      </c>
      <c r="I15">
        <v>3387244.31</v>
      </c>
      <c r="J15">
        <v>3387244.31</v>
      </c>
      <c r="K15">
        <f t="shared" si="0"/>
        <v>2.5818457699035484</v>
      </c>
    </row>
    <row r="16" spans="1:11" x14ac:dyDescent="0.25">
      <c r="A16" s="1">
        <v>46056</v>
      </c>
      <c r="B16" t="s">
        <v>10</v>
      </c>
      <c r="C16" t="s">
        <v>13</v>
      </c>
      <c r="D16">
        <v>1.91</v>
      </c>
      <c r="E16">
        <v>1.91</v>
      </c>
      <c r="F16">
        <v>1774233.69</v>
      </c>
      <c r="G16">
        <v>1774233.69</v>
      </c>
      <c r="H16">
        <v>0</v>
      </c>
      <c r="I16">
        <v>3393044.52</v>
      </c>
      <c r="J16">
        <v>3393044.52</v>
      </c>
      <c r="K16">
        <f t="shared" si="0"/>
        <v>2.7575036773938555</v>
      </c>
    </row>
    <row r="17" spans="1:11" x14ac:dyDescent="0.25">
      <c r="A17" s="1">
        <v>46065</v>
      </c>
      <c r="B17" t="s">
        <v>10</v>
      </c>
      <c r="C17" t="s">
        <v>12</v>
      </c>
      <c r="D17">
        <v>193.52</v>
      </c>
      <c r="E17">
        <v>193.52</v>
      </c>
      <c r="F17">
        <v>17599.88</v>
      </c>
      <c r="G17">
        <v>17599.88</v>
      </c>
      <c r="H17">
        <v>0</v>
      </c>
      <c r="I17">
        <v>3405927.96</v>
      </c>
      <c r="J17">
        <v>3405927.96</v>
      </c>
      <c r="K17">
        <f t="shared" si="0"/>
        <v>3.1476754318091134</v>
      </c>
    </row>
    <row r="18" spans="1:11" x14ac:dyDescent="0.25">
      <c r="A18" s="1">
        <v>46066</v>
      </c>
      <c r="B18" t="s">
        <v>10</v>
      </c>
      <c r="C18" t="s">
        <v>13</v>
      </c>
      <c r="D18">
        <v>1.92</v>
      </c>
      <c r="E18">
        <v>1.92</v>
      </c>
      <c r="F18">
        <v>1776800.86</v>
      </c>
      <c r="G18">
        <v>1776800.86</v>
      </c>
      <c r="H18">
        <v>0</v>
      </c>
      <c r="I18">
        <v>3415011.26</v>
      </c>
      <c r="J18">
        <v>3415011.26</v>
      </c>
      <c r="K18">
        <f t="shared" si="0"/>
        <v>3.4227608978709774</v>
      </c>
    </row>
  </sheetData>
  <autoFilter ref="A1:J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opLeftCell="A28" workbookViewId="0">
      <selection activeCell="C52" sqref="C52"/>
    </sheetView>
  </sheetViews>
  <sheetFormatPr defaultRowHeight="15" x14ac:dyDescent="0.25"/>
  <cols>
    <col min="1" max="1" width="11.28515625" bestFit="1" customWidth="1"/>
  </cols>
  <sheetData>
    <row r="1" spans="1:7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5">
      <c r="A2" s="1">
        <v>45993</v>
      </c>
      <c r="B2">
        <v>137.15</v>
      </c>
      <c r="C2">
        <v>137.75</v>
      </c>
      <c r="D2">
        <v>136.1</v>
      </c>
      <c r="E2">
        <v>136.94999999999999</v>
      </c>
      <c r="F2">
        <v>1501611</v>
      </c>
    </row>
    <row r="3" spans="1:7" x14ac:dyDescent="0.25">
      <c r="A3" s="1">
        <v>45994</v>
      </c>
      <c r="B3">
        <v>135.35</v>
      </c>
      <c r="C3">
        <v>135.75</v>
      </c>
      <c r="D3">
        <v>134</v>
      </c>
      <c r="E3">
        <v>135.55000000000001</v>
      </c>
      <c r="F3">
        <v>898823</v>
      </c>
      <c r="G3">
        <f>(E3-$E$2)/$E$2*100</f>
        <v>-1.0222709017889575</v>
      </c>
    </row>
    <row r="4" spans="1:7" x14ac:dyDescent="0.25">
      <c r="A4" s="1">
        <v>45995</v>
      </c>
      <c r="B4">
        <v>135.94999999999999</v>
      </c>
      <c r="C4">
        <v>136.55000000000001</v>
      </c>
      <c r="D4">
        <v>135.4</v>
      </c>
      <c r="E4">
        <v>135.5</v>
      </c>
      <c r="F4">
        <v>462916</v>
      </c>
      <c r="G4">
        <f t="shared" ref="G4:G51" si="0">(E4-$E$2)/$E$2*100</f>
        <v>-1.0587805768528578</v>
      </c>
    </row>
    <row r="5" spans="1:7" x14ac:dyDescent="0.25">
      <c r="A5" s="1">
        <v>45996</v>
      </c>
      <c r="B5">
        <v>135.55000000000001</v>
      </c>
      <c r="C5">
        <v>138.94999999999999</v>
      </c>
      <c r="D5">
        <v>135.55000000000001</v>
      </c>
      <c r="E5">
        <v>138.65</v>
      </c>
      <c r="F5">
        <v>1462723</v>
      </c>
      <c r="G5">
        <f t="shared" si="0"/>
        <v>1.2413289521723383</v>
      </c>
    </row>
    <row r="6" spans="1:7" x14ac:dyDescent="0.25">
      <c r="A6" s="1">
        <v>45999</v>
      </c>
      <c r="B6">
        <v>139</v>
      </c>
      <c r="C6">
        <v>140</v>
      </c>
      <c r="D6">
        <v>137.5</v>
      </c>
      <c r="E6">
        <v>137.65</v>
      </c>
      <c r="F6">
        <v>1630418</v>
      </c>
      <c r="G6">
        <f t="shared" si="0"/>
        <v>0.51113545089449963</v>
      </c>
    </row>
    <row r="7" spans="1:7" x14ac:dyDescent="0.25">
      <c r="A7" s="1">
        <v>46000</v>
      </c>
      <c r="B7">
        <v>137.77000000000001</v>
      </c>
      <c r="C7">
        <v>140.11000000000001</v>
      </c>
      <c r="D7">
        <v>137.01499999999999</v>
      </c>
      <c r="E7">
        <v>138.21</v>
      </c>
      <c r="F7">
        <v>1437752.4</v>
      </c>
      <c r="G7">
        <f t="shared" si="0"/>
        <v>0.92004381161009086</v>
      </c>
    </row>
    <row r="8" spans="1:7" x14ac:dyDescent="0.25">
      <c r="A8" s="1">
        <v>46001</v>
      </c>
      <c r="B8">
        <v>138.16</v>
      </c>
      <c r="C8">
        <v>140.88</v>
      </c>
      <c r="D8">
        <v>137.44999999999999</v>
      </c>
      <c r="E8">
        <v>138.66</v>
      </c>
      <c r="F8">
        <v>1519903.8</v>
      </c>
      <c r="G8">
        <f t="shared" si="0"/>
        <v>1.24863088718511</v>
      </c>
    </row>
    <row r="9" spans="1:7" x14ac:dyDescent="0.25">
      <c r="A9" s="1">
        <v>46002</v>
      </c>
      <c r="B9">
        <v>138.55000000000001</v>
      </c>
      <c r="C9">
        <v>141.65</v>
      </c>
      <c r="D9">
        <v>137.88499999999999</v>
      </c>
      <c r="E9">
        <v>139.11000000000001</v>
      </c>
      <c r="F9">
        <v>1602055.2</v>
      </c>
      <c r="G9">
        <f t="shared" si="0"/>
        <v>1.5772179627601499</v>
      </c>
    </row>
    <row r="10" spans="1:7" x14ac:dyDescent="0.25">
      <c r="A10" s="1">
        <v>46003</v>
      </c>
      <c r="B10">
        <v>138.94</v>
      </c>
      <c r="C10">
        <v>142.41999999999999</v>
      </c>
      <c r="D10">
        <v>138.32</v>
      </c>
      <c r="E10">
        <v>139.56</v>
      </c>
      <c r="F10">
        <v>1684206.6</v>
      </c>
      <c r="G10">
        <f t="shared" si="0"/>
        <v>1.905805038335169</v>
      </c>
    </row>
    <row r="11" spans="1:7" x14ac:dyDescent="0.25">
      <c r="A11" s="1">
        <v>46006</v>
      </c>
      <c r="B11">
        <v>139.33000000000001</v>
      </c>
      <c r="C11">
        <v>143.19</v>
      </c>
      <c r="D11">
        <v>138.755</v>
      </c>
      <c r="E11">
        <v>140.01</v>
      </c>
      <c r="F11">
        <v>1766358</v>
      </c>
      <c r="G11">
        <f t="shared" si="0"/>
        <v>2.2343921139101881</v>
      </c>
    </row>
    <row r="12" spans="1:7" x14ac:dyDescent="0.25">
      <c r="A12" s="1">
        <v>46007</v>
      </c>
      <c r="B12">
        <v>139.72</v>
      </c>
      <c r="C12">
        <v>143.96</v>
      </c>
      <c r="D12">
        <v>139.19</v>
      </c>
      <c r="E12">
        <v>140.46</v>
      </c>
      <c r="F12">
        <v>1848509.4</v>
      </c>
      <c r="G12">
        <f t="shared" si="0"/>
        <v>2.5629791894852278</v>
      </c>
    </row>
    <row r="13" spans="1:7" x14ac:dyDescent="0.25">
      <c r="A13" s="1">
        <v>46008</v>
      </c>
      <c r="B13">
        <v>140.11000000000001</v>
      </c>
      <c r="C13">
        <v>144.72999999999999</v>
      </c>
      <c r="D13">
        <v>139.625</v>
      </c>
      <c r="E13">
        <v>140.91</v>
      </c>
      <c r="F13">
        <v>1930660.8</v>
      </c>
      <c r="G13">
        <f t="shared" si="0"/>
        <v>2.8915662650602467</v>
      </c>
    </row>
    <row r="14" spans="1:7" x14ac:dyDescent="0.25">
      <c r="A14" s="1">
        <v>46009</v>
      </c>
      <c r="B14">
        <v>140.5</v>
      </c>
      <c r="C14">
        <v>145.5</v>
      </c>
      <c r="D14">
        <v>140.06</v>
      </c>
      <c r="E14">
        <v>141.36000000000001</v>
      </c>
      <c r="F14">
        <v>2012812.2</v>
      </c>
      <c r="G14">
        <f t="shared" si="0"/>
        <v>3.2201533406352865</v>
      </c>
    </row>
    <row r="15" spans="1:7" x14ac:dyDescent="0.25">
      <c r="A15" s="1">
        <v>46010</v>
      </c>
      <c r="B15">
        <v>140.88999999999999</v>
      </c>
      <c r="C15">
        <v>146.27000000000001</v>
      </c>
      <c r="D15">
        <v>140.495</v>
      </c>
      <c r="E15">
        <v>141.81</v>
      </c>
      <c r="F15">
        <v>2094963.6</v>
      </c>
      <c r="G15">
        <f t="shared" si="0"/>
        <v>3.5487404162103062</v>
      </c>
    </row>
    <row r="16" spans="1:7" x14ac:dyDescent="0.25">
      <c r="A16" s="1">
        <v>46013</v>
      </c>
      <c r="B16">
        <v>141.28</v>
      </c>
      <c r="C16">
        <v>147.04</v>
      </c>
      <c r="D16">
        <v>140.93</v>
      </c>
      <c r="E16">
        <v>142.26</v>
      </c>
      <c r="F16">
        <v>2177115</v>
      </c>
      <c r="G16">
        <f t="shared" si="0"/>
        <v>3.8773274917853247</v>
      </c>
    </row>
    <row r="17" spans="1:7" x14ac:dyDescent="0.25">
      <c r="A17" s="1">
        <v>46014</v>
      </c>
      <c r="B17">
        <v>141.66999999999999</v>
      </c>
      <c r="C17">
        <v>147.81</v>
      </c>
      <c r="D17">
        <v>141.36500000000001</v>
      </c>
      <c r="E17">
        <v>142.71</v>
      </c>
      <c r="F17">
        <v>2259266.4</v>
      </c>
      <c r="G17">
        <f t="shared" si="0"/>
        <v>4.2059145673603648</v>
      </c>
    </row>
    <row r="18" spans="1:7" x14ac:dyDescent="0.25">
      <c r="A18" s="1">
        <v>46015</v>
      </c>
      <c r="B18">
        <v>142.06</v>
      </c>
      <c r="C18">
        <v>148.58000000000001</v>
      </c>
      <c r="D18">
        <v>141.80000000000001</v>
      </c>
      <c r="E18">
        <v>143.16</v>
      </c>
      <c r="F18">
        <v>2341417.7999999998</v>
      </c>
      <c r="G18">
        <f t="shared" si="0"/>
        <v>4.5345016429353837</v>
      </c>
    </row>
    <row r="19" spans="1:7" x14ac:dyDescent="0.25">
      <c r="A19" s="1">
        <v>46016</v>
      </c>
      <c r="B19">
        <v>142.44999999999999</v>
      </c>
      <c r="C19">
        <v>149.35</v>
      </c>
      <c r="D19">
        <v>142.23500000000001</v>
      </c>
      <c r="E19">
        <v>143.61000000000001</v>
      </c>
      <c r="F19">
        <v>2423569.2000000002</v>
      </c>
      <c r="G19">
        <f t="shared" si="0"/>
        <v>4.8630887185104239</v>
      </c>
    </row>
    <row r="20" spans="1:7" x14ac:dyDescent="0.25">
      <c r="A20" s="1">
        <v>46017</v>
      </c>
      <c r="B20">
        <v>142.84</v>
      </c>
      <c r="C20">
        <v>150.12</v>
      </c>
      <c r="D20">
        <v>142.66999999999999</v>
      </c>
      <c r="E20">
        <v>144.06</v>
      </c>
      <c r="F20">
        <v>2505720.6</v>
      </c>
      <c r="G20">
        <f t="shared" si="0"/>
        <v>5.1916757940854428</v>
      </c>
    </row>
    <row r="21" spans="1:7" x14ac:dyDescent="0.25">
      <c r="A21" s="1">
        <v>46020</v>
      </c>
      <c r="B21">
        <v>143.22999999999999</v>
      </c>
      <c r="C21">
        <v>150.88999999999999</v>
      </c>
      <c r="D21">
        <v>143.10499999999999</v>
      </c>
      <c r="E21">
        <v>144.51</v>
      </c>
      <c r="F21">
        <v>2587872</v>
      </c>
      <c r="G21">
        <f t="shared" si="0"/>
        <v>5.5202628696604625</v>
      </c>
    </row>
    <row r="22" spans="1:7" x14ac:dyDescent="0.25">
      <c r="A22" s="1">
        <v>46021</v>
      </c>
      <c r="B22">
        <v>143.62</v>
      </c>
      <c r="C22">
        <v>151.66</v>
      </c>
      <c r="D22">
        <v>143.54</v>
      </c>
      <c r="E22">
        <v>144.96</v>
      </c>
      <c r="F22">
        <v>2670023.4</v>
      </c>
      <c r="G22">
        <f t="shared" si="0"/>
        <v>5.8488499452355018</v>
      </c>
    </row>
    <row r="23" spans="1:7" x14ac:dyDescent="0.25">
      <c r="A23" s="1">
        <v>46027</v>
      </c>
      <c r="B23">
        <v>144.01</v>
      </c>
      <c r="C23">
        <v>152.43</v>
      </c>
      <c r="D23">
        <v>143.97499999999999</v>
      </c>
      <c r="E23">
        <v>145.41</v>
      </c>
      <c r="F23">
        <v>2752174.8</v>
      </c>
      <c r="G23">
        <f t="shared" si="0"/>
        <v>6.1774370208105207</v>
      </c>
    </row>
    <row r="24" spans="1:7" x14ac:dyDescent="0.25">
      <c r="A24" s="1">
        <v>46028</v>
      </c>
      <c r="B24">
        <v>144.4</v>
      </c>
      <c r="C24">
        <v>153.19999999999999</v>
      </c>
      <c r="D24">
        <v>144.41</v>
      </c>
      <c r="E24">
        <v>145.86000000000001</v>
      </c>
      <c r="F24">
        <v>2834326.2</v>
      </c>
      <c r="G24">
        <f t="shared" si="0"/>
        <v>6.5060240963855609</v>
      </c>
    </row>
    <row r="25" spans="1:7" x14ac:dyDescent="0.25">
      <c r="A25" s="1">
        <v>46030</v>
      </c>
      <c r="B25">
        <v>144.79</v>
      </c>
      <c r="C25">
        <v>153.97</v>
      </c>
      <c r="D25">
        <v>144.845</v>
      </c>
      <c r="E25">
        <v>146.31</v>
      </c>
      <c r="F25">
        <v>2916477.6</v>
      </c>
      <c r="G25">
        <f t="shared" si="0"/>
        <v>6.8346111719605807</v>
      </c>
    </row>
    <row r="26" spans="1:7" x14ac:dyDescent="0.25">
      <c r="A26" s="1">
        <v>46031</v>
      </c>
      <c r="B26">
        <v>145.18</v>
      </c>
      <c r="C26">
        <v>154.74</v>
      </c>
      <c r="D26">
        <v>145.28</v>
      </c>
      <c r="E26">
        <v>146.76</v>
      </c>
      <c r="F26">
        <v>2998629</v>
      </c>
      <c r="G26">
        <f t="shared" si="0"/>
        <v>7.1631982475355986</v>
      </c>
    </row>
    <row r="27" spans="1:7" x14ac:dyDescent="0.25">
      <c r="A27" s="1">
        <v>46034</v>
      </c>
      <c r="B27">
        <v>145.57</v>
      </c>
      <c r="C27">
        <v>155.51</v>
      </c>
      <c r="D27">
        <v>145.715</v>
      </c>
      <c r="E27">
        <v>147.21</v>
      </c>
      <c r="F27">
        <v>3080780.4</v>
      </c>
      <c r="G27">
        <f t="shared" si="0"/>
        <v>7.4917853231106388</v>
      </c>
    </row>
    <row r="28" spans="1:7" x14ac:dyDescent="0.25">
      <c r="A28" s="1">
        <v>46035</v>
      </c>
      <c r="B28">
        <v>145.96</v>
      </c>
      <c r="C28">
        <v>156.28</v>
      </c>
      <c r="D28">
        <v>146.15</v>
      </c>
      <c r="E28">
        <v>147.66</v>
      </c>
      <c r="F28">
        <v>3162931.8</v>
      </c>
      <c r="G28">
        <f t="shared" si="0"/>
        <v>7.8203723986856586</v>
      </c>
    </row>
    <row r="29" spans="1:7" x14ac:dyDescent="0.25">
      <c r="A29" s="1">
        <v>46036</v>
      </c>
      <c r="B29">
        <v>146.35</v>
      </c>
      <c r="C29">
        <v>157.05000000000001</v>
      </c>
      <c r="D29">
        <v>146.58500000000001</v>
      </c>
      <c r="E29">
        <v>148.11000000000001</v>
      </c>
      <c r="F29">
        <v>3245083.2</v>
      </c>
      <c r="G29">
        <f t="shared" si="0"/>
        <v>8.1489594742606979</v>
      </c>
    </row>
    <row r="30" spans="1:7" x14ac:dyDescent="0.25">
      <c r="A30" s="1">
        <v>46037</v>
      </c>
      <c r="B30">
        <v>146.74</v>
      </c>
      <c r="C30">
        <v>157.82</v>
      </c>
      <c r="D30">
        <v>147.02000000000001</v>
      </c>
      <c r="E30">
        <v>148.56</v>
      </c>
      <c r="F30">
        <v>3327234.6</v>
      </c>
      <c r="G30">
        <f t="shared" si="0"/>
        <v>8.4775465498357168</v>
      </c>
    </row>
    <row r="31" spans="1:7" x14ac:dyDescent="0.25">
      <c r="A31" s="1">
        <v>46038</v>
      </c>
      <c r="B31">
        <v>147.13</v>
      </c>
      <c r="C31">
        <v>158.59</v>
      </c>
      <c r="D31">
        <v>147.45500000000001</v>
      </c>
      <c r="E31">
        <v>149.01</v>
      </c>
      <c r="F31">
        <v>3409386</v>
      </c>
      <c r="G31">
        <f t="shared" si="0"/>
        <v>8.8061336254107356</v>
      </c>
    </row>
    <row r="32" spans="1:7" x14ac:dyDescent="0.25">
      <c r="A32" s="1">
        <v>46041</v>
      </c>
      <c r="B32">
        <v>147.52000000000001</v>
      </c>
      <c r="C32">
        <v>159.36000000000001</v>
      </c>
      <c r="D32">
        <v>147.88999999999999</v>
      </c>
      <c r="E32">
        <v>149.46</v>
      </c>
      <c r="F32">
        <v>3491537.4</v>
      </c>
      <c r="G32">
        <f t="shared" si="0"/>
        <v>9.1347207009857776</v>
      </c>
    </row>
    <row r="33" spans="1:7" x14ac:dyDescent="0.25">
      <c r="A33" s="1">
        <v>46042</v>
      </c>
      <c r="B33">
        <v>147.91</v>
      </c>
      <c r="C33">
        <v>160.13</v>
      </c>
      <c r="D33">
        <v>148.32499999999999</v>
      </c>
      <c r="E33">
        <v>149.91</v>
      </c>
      <c r="F33">
        <v>3573688.8</v>
      </c>
      <c r="G33">
        <f t="shared" si="0"/>
        <v>9.4633077765607947</v>
      </c>
    </row>
    <row r="34" spans="1:7" x14ac:dyDescent="0.25">
      <c r="A34" s="1">
        <v>46043</v>
      </c>
      <c r="B34">
        <v>148.30000000000001</v>
      </c>
      <c r="C34">
        <v>160.9</v>
      </c>
      <c r="D34">
        <v>148.76</v>
      </c>
      <c r="E34">
        <v>150.36000000000001</v>
      </c>
      <c r="F34">
        <v>3655840.2</v>
      </c>
      <c r="G34">
        <f t="shared" si="0"/>
        <v>9.7918948521358349</v>
      </c>
    </row>
    <row r="35" spans="1:7" x14ac:dyDescent="0.25">
      <c r="A35" s="1">
        <v>46044</v>
      </c>
      <c r="B35">
        <v>148.69</v>
      </c>
      <c r="C35">
        <v>161.66999999999999</v>
      </c>
      <c r="D35">
        <v>149.19499999999999</v>
      </c>
      <c r="E35">
        <v>150.81</v>
      </c>
      <c r="F35">
        <v>3737991.6</v>
      </c>
      <c r="G35">
        <f t="shared" si="0"/>
        <v>10.120481927710854</v>
      </c>
    </row>
    <row r="36" spans="1:7" x14ac:dyDescent="0.25">
      <c r="A36" s="1">
        <v>46045</v>
      </c>
      <c r="B36">
        <v>149.08000000000001</v>
      </c>
      <c r="C36">
        <v>162.44</v>
      </c>
      <c r="D36">
        <v>149.63</v>
      </c>
      <c r="E36">
        <v>151.26</v>
      </c>
      <c r="F36">
        <v>3820143</v>
      </c>
      <c r="G36">
        <f t="shared" si="0"/>
        <v>10.449069003285873</v>
      </c>
    </row>
    <row r="37" spans="1:7" x14ac:dyDescent="0.25">
      <c r="A37" s="1">
        <v>46048</v>
      </c>
      <c r="B37">
        <v>149.47</v>
      </c>
      <c r="C37">
        <v>163.21</v>
      </c>
      <c r="D37">
        <v>150.065</v>
      </c>
      <c r="E37">
        <v>151.71</v>
      </c>
      <c r="F37">
        <v>3902294.4</v>
      </c>
      <c r="G37">
        <f t="shared" si="0"/>
        <v>10.777656078860913</v>
      </c>
    </row>
    <row r="38" spans="1:7" x14ac:dyDescent="0.25">
      <c r="A38" s="1">
        <v>46049</v>
      </c>
      <c r="B38">
        <v>149.86000000000001</v>
      </c>
      <c r="C38">
        <v>163.98</v>
      </c>
      <c r="D38">
        <v>150.5</v>
      </c>
      <c r="E38">
        <v>152.16</v>
      </c>
      <c r="F38">
        <v>3984445.8</v>
      </c>
      <c r="G38">
        <f t="shared" si="0"/>
        <v>11.106243154435932</v>
      </c>
    </row>
    <row r="39" spans="1:7" x14ac:dyDescent="0.25">
      <c r="A39" s="1">
        <v>46050</v>
      </c>
      <c r="B39">
        <v>150.25</v>
      </c>
      <c r="C39">
        <v>164.75</v>
      </c>
      <c r="D39">
        <v>150.935</v>
      </c>
      <c r="E39">
        <v>152.61000000000001</v>
      </c>
      <c r="F39">
        <v>4066597.2</v>
      </c>
      <c r="G39">
        <f t="shared" si="0"/>
        <v>11.434830230010974</v>
      </c>
    </row>
    <row r="40" spans="1:7" x14ac:dyDescent="0.25">
      <c r="A40" s="1">
        <v>46051</v>
      </c>
      <c r="B40">
        <v>150.63999999999999</v>
      </c>
      <c r="C40">
        <v>165.52</v>
      </c>
      <c r="D40">
        <v>151.37</v>
      </c>
      <c r="E40">
        <v>153.06</v>
      </c>
      <c r="F40">
        <v>4148748.6</v>
      </c>
      <c r="G40">
        <f t="shared" si="0"/>
        <v>11.763417305585991</v>
      </c>
    </row>
    <row r="41" spans="1:7" x14ac:dyDescent="0.25">
      <c r="A41" s="1">
        <v>46052</v>
      </c>
      <c r="B41">
        <v>151.03</v>
      </c>
      <c r="C41">
        <v>166.29</v>
      </c>
      <c r="D41">
        <v>151.80500000000001</v>
      </c>
      <c r="E41">
        <v>153.51</v>
      </c>
      <c r="F41">
        <v>4230900</v>
      </c>
      <c r="G41">
        <f t="shared" si="0"/>
        <v>12.09200438116101</v>
      </c>
    </row>
    <row r="42" spans="1:7" x14ac:dyDescent="0.25">
      <c r="A42" s="1">
        <v>46055</v>
      </c>
      <c r="B42">
        <v>151.41999999999999</v>
      </c>
      <c r="C42">
        <v>167.06</v>
      </c>
      <c r="D42">
        <v>152.24</v>
      </c>
      <c r="E42">
        <v>153.96</v>
      </c>
      <c r="F42">
        <v>4313051.4000000004</v>
      </c>
      <c r="G42">
        <f t="shared" si="0"/>
        <v>12.42059145673605</v>
      </c>
    </row>
    <row r="43" spans="1:7" x14ac:dyDescent="0.25">
      <c r="A43" s="1">
        <v>46056</v>
      </c>
      <c r="B43">
        <v>151.81</v>
      </c>
      <c r="C43">
        <v>167.83</v>
      </c>
      <c r="D43">
        <v>152.67500000000001</v>
      </c>
      <c r="E43">
        <v>154.41</v>
      </c>
      <c r="F43">
        <v>4395202.8</v>
      </c>
      <c r="G43">
        <f t="shared" si="0"/>
        <v>12.74917853231107</v>
      </c>
    </row>
    <row r="44" spans="1:7" x14ac:dyDescent="0.25">
      <c r="A44" s="1">
        <v>46057</v>
      </c>
      <c r="B44">
        <v>152.19999999999999</v>
      </c>
      <c r="C44">
        <v>168.6</v>
      </c>
      <c r="D44">
        <v>153.11000000000001</v>
      </c>
      <c r="E44">
        <v>154.86000000000001</v>
      </c>
      <c r="F44">
        <v>4477354.2</v>
      </c>
      <c r="G44">
        <f t="shared" si="0"/>
        <v>13.077765607886111</v>
      </c>
    </row>
    <row r="45" spans="1:7" x14ac:dyDescent="0.25">
      <c r="A45" s="1">
        <v>46058</v>
      </c>
      <c r="B45">
        <v>152.59</v>
      </c>
      <c r="C45">
        <v>169.37</v>
      </c>
      <c r="D45">
        <v>153.54499999999999</v>
      </c>
      <c r="E45">
        <v>155.31</v>
      </c>
      <c r="F45">
        <v>4559505.5999999996</v>
      </c>
      <c r="G45">
        <f t="shared" si="0"/>
        <v>13.406352683461128</v>
      </c>
    </row>
    <row r="46" spans="1:7" x14ac:dyDescent="0.25">
      <c r="A46" s="1">
        <v>46059</v>
      </c>
      <c r="B46">
        <v>152.97999999999999</v>
      </c>
      <c r="C46">
        <v>170.14</v>
      </c>
      <c r="D46">
        <v>153.97999999999999</v>
      </c>
      <c r="E46">
        <v>155.76</v>
      </c>
      <c r="F46">
        <v>4641657</v>
      </c>
      <c r="G46">
        <f t="shared" si="0"/>
        <v>13.734939759036147</v>
      </c>
    </row>
    <row r="47" spans="1:7" x14ac:dyDescent="0.25">
      <c r="A47" s="1">
        <v>46062</v>
      </c>
      <c r="B47">
        <v>153.37</v>
      </c>
      <c r="C47">
        <v>170.91</v>
      </c>
      <c r="D47">
        <v>154.41499999999999</v>
      </c>
      <c r="E47">
        <v>156.21</v>
      </c>
      <c r="F47">
        <v>4723808.4000000004</v>
      </c>
      <c r="G47">
        <f t="shared" si="0"/>
        <v>14.063526834611187</v>
      </c>
    </row>
    <row r="48" spans="1:7" x14ac:dyDescent="0.25">
      <c r="A48" s="1">
        <v>46063</v>
      </c>
      <c r="B48">
        <v>153.76</v>
      </c>
      <c r="C48">
        <v>171.68</v>
      </c>
      <c r="D48">
        <v>154.85</v>
      </c>
      <c r="E48">
        <v>156.66</v>
      </c>
      <c r="F48">
        <v>4805959.8</v>
      </c>
      <c r="G48">
        <f t="shared" si="0"/>
        <v>14.392113910186206</v>
      </c>
    </row>
    <row r="49" spans="1:7" x14ac:dyDescent="0.25">
      <c r="A49" s="1">
        <v>46064</v>
      </c>
      <c r="B49">
        <v>154.15</v>
      </c>
      <c r="C49">
        <v>172.45</v>
      </c>
      <c r="D49">
        <v>155.285</v>
      </c>
      <c r="E49">
        <v>157.11000000000001</v>
      </c>
      <c r="F49">
        <v>4888111.2</v>
      </c>
      <c r="G49">
        <f t="shared" si="0"/>
        <v>14.720700985761246</v>
      </c>
    </row>
    <row r="50" spans="1:7" x14ac:dyDescent="0.25">
      <c r="A50" s="1">
        <v>46065</v>
      </c>
      <c r="B50">
        <v>154.54</v>
      </c>
      <c r="C50">
        <v>173.22</v>
      </c>
      <c r="D50">
        <v>155.72</v>
      </c>
      <c r="E50">
        <v>157.56</v>
      </c>
      <c r="F50">
        <v>4970262.5999999996</v>
      </c>
      <c r="G50">
        <f t="shared" si="0"/>
        <v>15.049288061336267</v>
      </c>
    </row>
    <row r="51" spans="1:7" x14ac:dyDescent="0.25">
      <c r="A51" s="1">
        <v>46066</v>
      </c>
      <c r="B51">
        <v>154.93</v>
      </c>
      <c r="C51">
        <v>173.99</v>
      </c>
      <c r="D51">
        <v>156.155</v>
      </c>
      <c r="E51">
        <v>158.01</v>
      </c>
      <c r="F51">
        <v>5052414</v>
      </c>
      <c r="G51">
        <f t="shared" si="0"/>
        <v>15.377875136911284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G4" sqref="G4"/>
    </sheetView>
  </sheetViews>
  <sheetFormatPr defaultRowHeight="15" x14ac:dyDescent="0.25"/>
  <cols>
    <col min="1" max="1" width="11.28515625" bestFit="1" customWidth="1"/>
    <col min="2" max="2" width="11.140625" customWidth="1"/>
  </cols>
  <sheetData>
    <row r="1" spans="1:6" x14ac:dyDescent="0.25">
      <c r="A1" t="s">
        <v>15</v>
      </c>
      <c r="B1" t="s">
        <v>14</v>
      </c>
      <c r="C1" t="s">
        <v>11</v>
      </c>
      <c r="D1" t="s">
        <v>13</v>
      </c>
      <c r="E1" t="s">
        <v>12</v>
      </c>
      <c r="F1" t="s">
        <v>22</v>
      </c>
    </row>
    <row r="2" spans="1:6" x14ac:dyDescent="0.25">
      <c r="A2" s="1">
        <v>45993</v>
      </c>
      <c r="B2">
        <f>VLOOKUP(A2,EQMX!A:G,7,FALSE)</f>
        <v>0</v>
      </c>
      <c r="C2">
        <f>VLOOKUP(A2,GOLD!A:G,7,FALSE)</f>
        <v>0</v>
      </c>
      <c r="D2">
        <f>VLOOKUP(A2,LQDT!A:G,7,FALSE)</f>
        <v>0</v>
      </c>
      <c r="E2">
        <f>VLOOKUP(A2,OBLG!A:G,7,FALSE)</f>
        <v>0</v>
      </c>
      <c r="F2">
        <f>VLOOKUP(A2,trades_lookback29_mktvol21_2026!A:K,11,FALSE)</f>
        <v>0</v>
      </c>
    </row>
    <row r="3" spans="1:6" x14ac:dyDescent="0.25">
      <c r="A3" s="1">
        <v>45994</v>
      </c>
      <c r="B3">
        <f>VLOOKUP(A3,EQMX!A:G,7,FALSE)</f>
        <v>-1.0222709017889575</v>
      </c>
      <c r="C3">
        <f>VLOOKUP(A3,GOLD!A:G,7,FALSE)</f>
        <v>-0.93600764087870825</v>
      </c>
      <c r="D3">
        <f>VLOOKUP(A3,LQDT!A:G,7,FALSE)</f>
        <v>4.2969169620804271E-2</v>
      </c>
      <c r="E3">
        <f>VLOOKUP(A3,OBLG!A:G,7,FALSE)</f>
        <v>3.2047858134815872E-2</v>
      </c>
    </row>
    <row r="4" spans="1:6" x14ac:dyDescent="0.25">
      <c r="A4" s="1">
        <v>45995</v>
      </c>
      <c r="B4">
        <f>VLOOKUP(A4,EQMX!A:G,7,FALSE)</f>
        <v>-1.0587805768528578</v>
      </c>
      <c r="C4">
        <f>VLOOKUP(A4,GOLD!A:G,7,FALSE)</f>
        <v>-2.1394460362941756</v>
      </c>
      <c r="D4">
        <f>VLOOKUP(A4,LQDT!A:G,7,FALSE)</f>
        <v>8.0567193038997578E-2</v>
      </c>
      <c r="E4">
        <f>VLOOKUP(A4,OBLG!A:G,7,FALSE)</f>
        <v>-2.1365238756538854E-2</v>
      </c>
    </row>
    <row r="5" spans="1:6" x14ac:dyDescent="0.25">
      <c r="A5" s="1">
        <v>45996</v>
      </c>
      <c r="B5">
        <f>VLOOKUP(A5,EQMX!A:G,7,FALSE)</f>
        <v>1.2413289521723383</v>
      </c>
      <c r="C5">
        <f>VLOOKUP(A5,GOLD!A:G,7,FALSE)</f>
        <v>-1.0697230181470878</v>
      </c>
      <c r="D5">
        <f>VLOOKUP(A5,LQDT!A:G,7,FALSE)</f>
        <v>0.20947470190138656</v>
      </c>
      <c r="E5">
        <f>VLOOKUP(A5,OBLG!A:G,7,FALSE)</f>
        <v>0.21365238756543406</v>
      </c>
    </row>
    <row r="6" spans="1:6" x14ac:dyDescent="0.25">
      <c r="A6" s="1">
        <v>45999</v>
      </c>
      <c r="B6">
        <f>VLOOKUP(A6,EQMX!A:G,7,FALSE)</f>
        <v>0.51113545089449963</v>
      </c>
      <c r="C6">
        <f>VLOOKUP(A6,GOLD!A:G,7,FALSE)</f>
        <v>-1.0697230181470878</v>
      </c>
      <c r="D6">
        <f>VLOOKUP(A6,LQDT!A:G,7,FALSE)</f>
        <v>0.24707272531959176</v>
      </c>
      <c r="E6">
        <f>VLOOKUP(A6,OBLG!A:G,7,FALSE)</f>
        <v>0.11750881316098646</v>
      </c>
      <c r="F6">
        <f>VLOOKUP(A6,trades_lookback29_mktvol21_2026!A:K,11,FALSE)</f>
        <v>0.11549634386299557</v>
      </c>
    </row>
    <row r="7" spans="1:6" x14ac:dyDescent="0.25">
      <c r="A7" s="1">
        <v>46000</v>
      </c>
      <c r="B7">
        <f>VLOOKUP(A7,EQMX!A:G,7,FALSE)</f>
        <v>0.92004381161009086</v>
      </c>
      <c r="C7">
        <f>VLOOKUP(A7,GOLD!A:G,7,FALSE)</f>
        <v>-0.17191977077364548</v>
      </c>
      <c r="D7">
        <f>VLOOKUP(A7,LQDT!A:G,7,FALSE)</f>
        <v>0.29541304114298317</v>
      </c>
      <c r="E7">
        <f>VLOOKUP(A7,OBLG!A:G,7,FALSE)</f>
        <v>0.14955667129580233</v>
      </c>
      <c r="F7">
        <f>VLOOKUP(A7,trades_lookback29_mktvol21_2026!A:K,11,FALSE)</f>
        <v>0.16175993305034636</v>
      </c>
    </row>
    <row r="8" spans="1:6" x14ac:dyDescent="0.25">
      <c r="A8" s="1">
        <v>46001</v>
      </c>
      <c r="B8">
        <f>VLOOKUP(A8,EQMX!A:G,7,FALSE)</f>
        <v>1.24863088718511</v>
      </c>
      <c r="C8">
        <f>VLOOKUP(A8,GOLD!A:G,7,FALSE)</f>
        <v>1.2225405921681003</v>
      </c>
      <c r="D8">
        <f>VLOOKUP(A8,LQDT!A:G,7,FALSE)</f>
        <v>0.34375335696638648</v>
      </c>
      <c r="E8">
        <f>VLOOKUP(A8,OBLG!A:G,7,FALSE)</f>
        <v>0.50208311077876178</v>
      </c>
      <c r="F8">
        <f>VLOOKUP(A8,trades_lookback29_mktvol21_2026!A:K,11,FALSE)</f>
        <v>0.12376983460682511</v>
      </c>
    </row>
    <row r="9" spans="1:6" x14ac:dyDescent="0.25">
      <c r="A9" s="1">
        <v>46002</v>
      </c>
      <c r="B9">
        <f>VLOOKUP(A9,EQMX!A:G,7,FALSE)</f>
        <v>1.5772179627601499</v>
      </c>
      <c r="C9">
        <f>VLOOKUP(A9,GOLD!A:G,7,FALSE)</f>
        <v>2.6170009551098294</v>
      </c>
      <c r="D9">
        <f>VLOOKUP(A9,LQDT!A:G,7,FALSE)</f>
        <v>0.38672252658717882</v>
      </c>
      <c r="E9">
        <f>VLOOKUP(A9,OBLG!A:G,7,FALSE)</f>
        <v>0.48071787202222288</v>
      </c>
      <c r="F9">
        <f>VLOOKUP(A9,trades_lookback29_mktvol21_2026!A:K,11,FALSE)</f>
        <v>0.10047298812782604</v>
      </c>
    </row>
    <row r="10" spans="1:6" x14ac:dyDescent="0.25">
      <c r="A10" s="1">
        <v>46003</v>
      </c>
      <c r="B10">
        <f>VLOOKUP(A10,EQMX!A:G,7,FALSE)</f>
        <v>1.905805038335169</v>
      </c>
      <c r="C10">
        <f>VLOOKUP(A10,GOLD!A:G,7,FALSE)</f>
        <v>2.9799426934097362</v>
      </c>
      <c r="D10">
        <f>VLOOKUP(A10,LQDT!A:G,7,FALSE)</f>
        <v>0.51563003544956787</v>
      </c>
      <c r="E10">
        <f>VLOOKUP(A10,OBLG!A:G,7,FALSE)</f>
        <v>0.74778335647901173</v>
      </c>
      <c r="F10">
        <f>VLOOKUP(A10,trades_lookback29_mktvol21_2026!A:K,11,FALSE)</f>
        <v>-1.6041350336778726</v>
      </c>
    </row>
    <row r="11" spans="1:6" x14ac:dyDescent="0.25">
      <c r="A11" s="1">
        <v>46006</v>
      </c>
      <c r="B11">
        <f>VLOOKUP(A11,EQMX!A:G,7,FALSE)</f>
        <v>2.2343921139101881</v>
      </c>
      <c r="C11">
        <f>VLOOKUP(A11,GOLD!A:G,7,FALSE)</f>
        <v>3.8777459407831785</v>
      </c>
      <c r="D11">
        <f>VLOOKUP(A11,LQDT!A:G,7,FALSE)</f>
        <v>0.55322805886777304</v>
      </c>
      <c r="E11">
        <f>VLOOKUP(A11,OBLG!A:G,7,FALSE)</f>
        <v>0.9080226471530759</v>
      </c>
    </row>
    <row r="12" spans="1:6" x14ac:dyDescent="0.25">
      <c r="A12" s="1">
        <v>46007</v>
      </c>
      <c r="B12">
        <f>VLOOKUP(A12,EQMX!A:G,7,FALSE)</f>
        <v>2.5629791894852278</v>
      </c>
      <c r="C12">
        <f>VLOOKUP(A12,GOLD!A:G,7,FALSE)</f>
        <v>3.6485195797516683</v>
      </c>
      <c r="D12">
        <f>VLOOKUP(A12,LQDT!A:G,7,FALSE)</f>
        <v>0.59619722848856538</v>
      </c>
      <c r="E12">
        <f>VLOOKUP(A12,OBLG!A:G,7,FALSE)</f>
        <v>0.92938788590962995</v>
      </c>
    </row>
    <row r="13" spans="1:6" x14ac:dyDescent="0.25">
      <c r="A13" s="1">
        <v>46008</v>
      </c>
      <c r="B13">
        <f>VLOOKUP(A13,EQMX!A:G,7,FALSE)</f>
        <v>2.8915662650602467</v>
      </c>
      <c r="C13">
        <f>VLOOKUP(A13,GOLD!A:G,7,FALSE)</f>
        <v>4.4508118433619801</v>
      </c>
      <c r="D13">
        <f>VLOOKUP(A13,LQDT!A:G,7,FALSE)</f>
        <v>0.63916639810935771</v>
      </c>
      <c r="E13">
        <f>VLOOKUP(A13,OBLG!A:G,7,FALSE)</f>
        <v>1.0362140796923394</v>
      </c>
      <c r="F13">
        <f>VLOOKUP(A13,trades_lookback29_mktvol21_2026!A:K,11,FALSE)</f>
        <v>-1.3244211493342988</v>
      </c>
    </row>
    <row r="14" spans="1:6" x14ac:dyDescent="0.25">
      <c r="A14" s="1">
        <v>46009</v>
      </c>
      <c r="B14">
        <f>VLOOKUP(A14,EQMX!A:G,7,FALSE)</f>
        <v>3.2201533406352865</v>
      </c>
      <c r="C14">
        <f>VLOOKUP(A14,GOLD!A:G,7,FALSE)</f>
        <v>4.5845272206303589</v>
      </c>
      <c r="D14">
        <f>VLOOKUP(A14,LQDT!A:G,7,FALSE)</f>
        <v>0.68213556773016204</v>
      </c>
      <c r="E14">
        <f>VLOOKUP(A14,OBLG!A:G,7,FALSE)</f>
        <v>1.2498664672577735</v>
      </c>
      <c r="F14">
        <f>VLOOKUP(A14,trades_lookback29_mktvol21_2026!A:K,11,FALSE)</f>
        <v>-1.2000849899099064</v>
      </c>
    </row>
    <row r="15" spans="1:6" x14ac:dyDescent="0.25">
      <c r="A15" s="1">
        <v>46010</v>
      </c>
      <c r="B15">
        <f>VLOOKUP(A15,EQMX!A:G,7,FALSE)</f>
        <v>3.5487404162103062</v>
      </c>
      <c r="C15">
        <f>VLOOKUP(A15,GOLD!A:G,7,FALSE)</f>
        <v>4.2788920725883344</v>
      </c>
      <c r="D15">
        <f>VLOOKUP(A15,LQDT!A:G,7,FALSE)</f>
        <v>0.80567193038995188</v>
      </c>
      <c r="E15">
        <f>VLOOKUP(A15,OBLG!A:G,7,FALSE)</f>
        <v>1.0575793184488782</v>
      </c>
      <c r="F15">
        <f>VLOOKUP(A15,trades_lookback29_mktvol21_2026!A:K,11,FALSE)</f>
        <v>-1.3897014413393642</v>
      </c>
    </row>
    <row r="16" spans="1:6" x14ac:dyDescent="0.25">
      <c r="A16" s="1">
        <v>46013</v>
      </c>
      <c r="B16">
        <f>VLOOKUP(A16,EQMX!A:G,7,FALSE)</f>
        <v>3.8773274917853247</v>
      </c>
      <c r="C16">
        <f>VLOOKUP(A16,GOLD!A:G,7,FALSE)</f>
        <v>4.6227316141356249</v>
      </c>
      <c r="D16">
        <f>VLOOKUP(A16,LQDT!A:G,7,FALSE)</f>
        <v>0.85401224621334326</v>
      </c>
      <c r="E16">
        <f>VLOOKUP(A16,OBLG!A:G,7,FALSE)</f>
        <v>0.95075312466616868</v>
      </c>
    </row>
    <row r="17" spans="1:6" x14ac:dyDescent="0.25">
      <c r="A17" s="1">
        <v>46014</v>
      </c>
      <c r="B17">
        <f>VLOOKUP(A17,EQMX!A:G,7,FALSE)</f>
        <v>4.2059145673603648</v>
      </c>
      <c r="C17">
        <f>VLOOKUP(A17,GOLD!A:G,7,FALSE)</f>
        <v>4.9474689589302665</v>
      </c>
      <c r="D17">
        <f>VLOOKUP(A17,LQDT!A:G,7,FALSE)</f>
        <v>0.8969814158341477</v>
      </c>
      <c r="E17">
        <f>VLOOKUP(A17,OBLG!A:G,7,FALSE)</f>
        <v>0.68368764020938</v>
      </c>
    </row>
    <row r="18" spans="1:6" x14ac:dyDescent="0.25">
      <c r="A18" s="1">
        <v>46015</v>
      </c>
      <c r="B18">
        <f>VLOOKUP(A18,EQMX!A:G,7,FALSE)</f>
        <v>4.5345016429353837</v>
      </c>
      <c r="C18">
        <f>VLOOKUP(A18,GOLD!A:G,7,FALSE)</f>
        <v>5.1002865329512783</v>
      </c>
      <c r="D18">
        <f>VLOOKUP(A18,LQDT!A:G,7,FALSE)</f>
        <v>0.93995058545493992</v>
      </c>
      <c r="E18">
        <f>VLOOKUP(A18,OBLG!A:G,7,FALSE)</f>
        <v>0.70505287896591884</v>
      </c>
    </row>
    <row r="19" spans="1:6" x14ac:dyDescent="0.25">
      <c r="A19" s="1">
        <v>46016</v>
      </c>
      <c r="B19">
        <f>VLOOKUP(A19,EQMX!A:G,7,FALSE)</f>
        <v>4.8630887185104239</v>
      </c>
      <c r="C19">
        <f>VLOOKUP(A19,GOLD!A:G,7,FALSE)</f>
        <v>4.0305635148041912</v>
      </c>
      <c r="D19">
        <f>VLOOKUP(A19,LQDT!A:G,7,FALSE)</f>
        <v>0.98291975507574425</v>
      </c>
      <c r="E19">
        <f>VLOOKUP(A19,OBLG!A:G,7,FALSE)</f>
        <v>1.0148488409358005</v>
      </c>
    </row>
    <row r="20" spans="1:6" x14ac:dyDescent="0.25">
      <c r="A20" s="1">
        <v>46017</v>
      </c>
      <c r="B20">
        <f>VLOOKUP(A20,EQMX!A:G,7,FALSE)</f>
        <v>5.1916757940854428</v>
      </c>
      <c r="C20">
        <f>VLOOKUP(A20,GOLD!A:G,7,FALSE)</f>
        <v>5.1766953199617936</v>
      </c>
      <c r="D20">
        <f>VLOOKUP(A20,LQDT!A:G,7,FALSE)</f>
        <v>1.111827263938133</v>
      </c>
      <c r="E20">
        <f>VLOOKUP(A20,OBLG!A:G,7,FALSE)</f>
        <v>1.2925969447708512</v>
      </c>
    </row>
    <row r="21" spans="1:6" x14ac:dyDescent="0.25">
      <c r="A21" s="1">
        <v>46020</v>
      </c>
      <c r="B21">
        <f>VLOOKUP(A21,EQMX!A:G,7,FALSE)</f>
        <v>5.5202628696604625</v>
      </c>
      <c r="C21">
        <f>VLOOKUP(A21,GOLD!A:G,7,FALSE)</f>
        <v>2.6361031518624625</v>
      </c>
      <c r="D21">
        <f>VLOOKUP(A21,LQDT!A:G,7,FALSE)</f>
        <v>1.1547964335589256</v>
      </c>
      <c r="E21">
        <f>VLOOKUP(A21,OBLG!A:G,7,FALSE)</f>
        <v>1.6130755261190097</v>
      </c>
      <c r="F21">
        <f>VLOOKUP(A21,trades_lookback29_mktvol21_2026!A:K,11,FALSE)</f>
        <v>-2.9451392033518551</v>
      </c>
    </row>
    <row r="22" spans="1:6" x14ac:dyDescent="0.25">
      <c r="A22" s="1">
        <v>46021</v>
      </c>
      <c r="B22">
        <f>VLOOKUP(A22,EQMX!A:G,7,FALSE)</f>
        <v>5.8488499452355018</v>
      </c>
      <c r="C22">
        <f>VLOOKUP(A22,GOLD!A:G,7,FALSE)</f>
        <v>4.5845272206303589</v>
      </c>
      <c r="D22">
        <f>VLOOKUP(A22,LQDT!A:G,7,FALSE)</f>
        <v>1.4179825974863145</v>
      </c>
      <c r="E22">
        <f>VLOOKUP(A22,OBLG!A:G,7,FALSE)</f>
        <v>2.1899369725456652</v>
      </c>
    </row>
    <row r="23" spans="1:6" x14ac:dyDescent="0.25">
      <c r="A23" s="1">
        <v>46027</v>
      </c>
      <c r="B23">
        <f>VLOOKUP(A23,EQMX!A:G,7,FALSE)</f>
        <v>6.1774370208105207</v>
      </c>
      <c r="C23">
        <f>VLOOKUP(A23,GOLD!A:G,7,FALSE)</f>
        <v>7.8892072588347535</v>
      </c>
      <c r="D23">
        <f>VLOOKUP(A23,LQDT!A:G,7,FALSE)</f>
        <v>1.4609517671071068</v>
      </c>
      <c r="E23">
        <f>VLOOKUP(A23,OBLG!A:G,7,FALSE)</f>
        <v>2.4890503151372698</v>
      </c>
    </row>
    <row r="24" spans="1:6" x14ac:dyDescent="0.25">
      <c r="A24" s="1">
        <v>46028</v>
      </c>
      <c r="B24">
        <f>VLOOKUP(A24,EQMX!A:G,7,FALSE)</f>
        <v>6.5060240963855609</v>
      </c>
      <c r="C24">
        <f>VLOOKUP(A24,GOLD!A:G,7,FALSE)</f>
        <v>8.5004775549188025</v>
      </c>
      <c r="D24">
        <f>VLOOKUP(A24,LQDT!A:G,7,FALSE)</f>
        <v>1.5468901063487033</v>
      </c>
      <c r="E24">
        <f>VLOOKUP(A24,OBLG!A:G,7,FALSE)</f>
        <v>2.499732934515547</v>
      </c>
    </row>
    <row r="25" spans="1:6" x14ac:dyDescent="0.25">
      <c r="A25" s="1">
        <v>46030</v>
      </c>
      <c r="B25">
        <f>VLOOKUP(A25,EQMX!A:G,7,FALSE)</f>
        <v>6.8346111719605807</v>
      </c>
      <c r="C25">
        <f>VLOOKUP(A25,GOLD!A:G,7,FALSE)</f>
        <v>7.5453677172874798</v>
      </c>
      <c r="D25">
        <f>VLOOKUP(A25,LQDT!A:G,7,FALSE)</f>
        <v>1.5844881297668967</v>
      </c>
      <c r="E25">
        <f>VLOOKUP(A25,OBLG!A:G,7,FALSE)</f>
        <v>2.4570024570024542</v>
      </c>
    </row>
    <row r="26" spans="1:6" x14ac:dyDescent="0.25">
      <c r="A26" s="1">
        <v>46031</v>
      </c>
      <c r="B26">
        <f>VLOOKUP(A26,EQMX!A:G,7,FALSE)</f>
        <v>7.1631982475355986</v>
      </c>
      <c r="C26">
        <f>VLOOKUP(A26,GOLD!A:G,7,FALSE)</f>
        <v>8.0038204393505179</v>
      </c>
      <c r="D26">
        <f>VLOOKUP(A26,LQDT!A:G,7,FALSE)</f>
        <v>1.7187667848318846</v>
      </c>
      <c r="E26">
        <f>VLOOKUP(A26,OBLG!A:G,7,FALSE)</f>
        <v>2.6172417476765331</v>
      </c>
    </row>
    <row r="27" spans="1:6" x14ac:dyDescent="0.25">
      <c r="A27" s="1">
        <v>46034</v>
      </c>
      <c r="B27">
        <f>VLOOKUP(A27,EQMX!A:G,7,FALSE)</f>
        <v>7.4917853231106388</v>
      </c>
      <c r="C27">
        <f>VLOOKUP(A27,GOLD!A:G,7,FALSE)</f>
        <v>10.850047755491874</v>
      </c>
      <c r="D27">
        <f>VLOOKUP(A27,LQDT!A:G,7,FALSE)</f>
        <v>1.7617359544526892</v>
      </c>
      <c r="E27">
        <f>VLOOKUP(A27,OBLG!A:G,7,FALSE)</f>
        <v>2.3822241213545605</v>
      </c>
    </row>
    <row r="28" spans="1:6" x14ac:dyDescent="0.25">
      <c r="A28" s="1">
        <v>46035</v>
      </c>
      <c r="B28">
        <f>VLOOKUP(A28,EQMX!A:G,7,FALSE)</f>
        <v>7.8203723986856586</v>
      </c>
      <c r="C28">
        <f>VLOOKUP(A28,GOLD!A:G,7,FALSE)</f>
        <v>10.296084049665705</v>
      </c>
      <c r="D28">
        <f>VLOOKUP(A28,LQDT!A:G,7,FALSE)</f>
        <v>1.8047051240734813</v>
      </c>
      <c r="E28">
        <f>VLOOKUP(A28,OBLG!A:G,7,FALSE)</f>
        <v>2.3715415019762833</v>
      </c>
    </row>
    <row r="29" spans="1:6" x14ac:dyDescent="0.25">
      <c r="A29" s="1">
        <v>46036</v>
      </c>
      <c r="B29">
        <f>VLOOKUP(A29,EQMX!A:G,7,FALSE)</f>
        <v>8.1489594742606979</v>
      </c>
      <c r="C29">
        <f>VLOOKUP(A29,GOLD!A:G,7,FALSE)</f>
        <v>10.525310410697216</v>
      </c>
      <c r="D29">
        <f>VLOOKUP(A29,LQDT!A:G,7,FALSE)</f>
        <v>1.8530454398968845</v>
      </c>
      <c r="E29">
        <f>VLOOKUP(A29,OBLG!A:G,7,FALSE)</f>
        <v>2.2540326888152973</v>
      </c>
    </row>
    <row r="30" spans="1:6" x14ac:dyDescent="0.25">
      <c r="A30" s="1">
        <v>46037</v>
      </c>
      <c r="B30">
        <f>VLOOKUP(A30,EQMX!A:G,7,FALSE)</f>
        <v>8.4775465498357168</v>
      </c>
      <c r="C30">
        <f>VLOOKUP(A30,GOLD!A:G,7,FALSE)</f>
        <v>9.3982808022922626</v>
      </c>
      <c r="D30">
        <f>VLOOKUP(A30,LQDT!A:G,7,FALSE)</f>
        <v>1.8960146095176771</v>
      </c>
      <c r="E30">
        <f>VLOOKUP(A30,OBLG!A:G,7,FALSE)</f>
        <v>2.2967631663283901</v>
      </c>
    </row>
    <row r="31" spans="1:6" x14ac:dyDescent="0.25">
      <c r="A31" s="1">
        <v>46038</v>
      </c>
      <c r="B31">
        <f>VLOOKUP(A31,EQMX!A:G,7,FALSE)</f>
        <v>8.8061336254107356</v>
      </c>
      <c r="C31">
        <f>VLOOKUP(A31,GOLD!A:G,7,FALSE)</f>
        <v>8.9589302769818406</v>
      </c>
      <c r="D31">
        <f>VLOOKUP(A31,LQDT!A:G,7,FALSE)</f>
        <v>2.0249221183800659</v>
      </c>
      <c r="E31">
        <f>VLOOKUP(A31,OBLG!A:G,7,FALSE)</f>
        <v>2.1792543531674031</v>
      </c>
    </row>
    <row r="32" spans="1:6" x14ac:dyDescent="0.25">
      <c r="A32" s="1">
        <v>46041</v>
      </c>
      <c r="B32">
        <f>VLOOKUP(A32,EQMX!A:G,7,FALSE)</f>
        <v>9.1347207009857776</v>
      </c>
      <c r="C32">
        <f>VLOOKUP(A32,GOLD!A:G,7,FALSE)</f>
        <v>10.754536771728743</v>
      </c>
      <c r="D32">
        <f>VLOOKUP(A32,LQDT!A:G,7,FALSE)</f>
        <v>2.0678912880008702</v>
      </c>
      <c r="E32">
        <f>VLOOKUP(A32,OBLG!A:G,7,FALSE)</f>
        <v>2.2967631663283901</v>
      </c>
    </row>
    <row r="33" spans="1:6" x14ac:dyDescent="0.25">
      <c r="A33" s="1">
        <v>46042</v>
      </c>
      <c r="B33">
        <f>VLOOKUP(A33,EQMX!A:G,7,FALSE)</f>
        <v>9.4633077765607947</v>
      </c>
      <c r="C33">
        <f>VLOOKUP(A33,GOLD!A:G,7,FALSE)</f>
        <v>13.08500477554918</v>
      </c>
      <c r="D33">
        <f>VLOOKUP(A33,LQDT!A:G,7,FALSE)</f>
        <v>2.1108604576216625</v>
      </c>
      <c r="E33">
        <f>VLOOKUP(A33,OBLG!A:G,7,FALSE)</f>
        <v>2.3715415019762833</v>
      </c>
    </row>
    <row r="34" spans="1:6" x14ac:dyDescent="0.25">
      <c r="A34" s="1">
        <v>46043</v>
      </c>
      <c r="B34">
        <f>VLOOKUP(A34,EQMX!A:G,7,FALSE)</f>
        <v>9.7918948521358349</v>
      </c>
      <c r="C34">
        <f>VLOOKUP(A34,GOLD!A:G,7,FALSE)</f>
        <v>12.129894937917856</v>
      </c>
      <c r="D34">
        <f>VLOOKUP(A34,LQDT!A:G,7,FALSE)</f>
        <v>2.1538296272424549</v>
      </c>
      <c r="E34">
        <f>VLOOKUP(A34,OBLG!A:G,7,FALSE)</f>
        <v>2.2967631663283901</v>
      </c>
    </row>
    <row r="35" spans="1:6" x14ac:dyDescent="0.25">
      <c r="A35" s="1">
        <v>46044</v>
      </c>
      <c r="B35">
        <f>VLOOKUP(A35,EQMX!A:G,7,FALSE)</f>
        <v>10.120481927710854</v>
      </c>
      <c r="C35">
        <f>VLOOKUP(A35,GOLD!A:G,7,FALSE)</f>
        <v>13.46704871060172</v>
      </c>
      <c r="D35">
        <f>VLOOKUP(A35,LQDT!A:G,7,FALSE)</f>
        <v>2.2021699430658583</v>
      </c>
      <c r="E35">
        <f>VLOOKUP(A35,OBLG!A:G,7,FALSE)</f>
        <v>2.3501762632197445</v>
      </c>
      <c r="F35">
        <f>VLOOKUP(A35,trades_lookback29_mktvol21_2026!A:K,11,FALSE)</f>
        <v>-2.2430687498007509</v>
      </c>
    </row>
    <row r="36" spans="1:6" x14ac:dyDescent="0.25">
      <c r="A36" s="1">
        <v>46045</v>
      </c>
      <c r="B36">
        <f>VLOOKUP(A36,EQMX!A:G,7,FALSE)</f>
        <v>10.449069003285873</v>
      </c>
      <c r="C36">
        <f>VLOOKUP(A36,GOLD!A:G,7,FALSE)</f>
        <v>14.460362941738293</v>
      </c>
      <c r="D36">
        <f>VLOOKUP(A36,LQDT!A:G,7,FALSE)</f>
        <v>2.3310774519282473</v>
      </c>
      <c r="E36">
        <f>VLOOKUP(A36,OBLG!A:G,7,FALSE)</f>
        <v>2.4142719794893761</v>
      </c>
    </row>
    <row r="37" spans="1:6" x14ac:dyDescent="0.25">
      <c r="A37" s="1">
        <v>46048</v>
      </c>
      <c r="B37">
        <f>VLOOKUP(A37,EQMX!A:G,7,FALSE)</f>
        <v>10.777656078860913</v>
      </c>
      <c r="C37">
        <f>VLOOKUP(A37,GOLD!A:G,7,FALSE)</f>
        <v>17.917860553963699</v>
      </c>
      <c r="D37">
        <f>VLOOKUP(A37,LQDT!A:G,7,FALSE)</f>
        <v>2.3686754753464405</v>
      </c>
      <c r="E37">
        <f>VLOOKUP(A37,OBLG!A:G,7,FALSE)</f>
        <v>2.4783676957590082</v>
      </c>
    </row>
    <row r="38" spans="1:6" x14ac:dyDescent="0.25">
      <c r="A38" s="1">
        <v>46049</v>
      </c>
      <c r="B38">
        <f>VLOOKUP(A38,EQMX!A:G,7,FALSE)</f>
        <v>11.106243154435932</v>
      </c>
      <c r="C38">
        <f>VLOOKUP(A38,GOLD!A:G,7,FALSE)</f>
        <v>18.94937917860554</v>
      </c>
      <c r="D38">
        <f>VLOOKUP(A38,LQDT!A:G,7,FALSE)</f>
        <v>2.417015791169844</v>
      </c>
      <c r="E38">
        <f>VLOOKUP(A38,OBLG!A:G,7,FALSE)</f>
        <v>2.7881636577288744</v>
      </c>
      <c r="F38">
        <f>VLOOKUP(A38,trades_lookback29_mktvol21_2026!A:K,11,FALSE)</f>
        <v>2.4781441246206191</v>
      </c>
    </row>
    <row r="39" spans="1:6" x14ac:dyDescent="0.25">
      <c r="A39" s="1">
        <v>46050</v>
      </c>
      <c r="B39">
        <f>VLOOKUP(A39,EQMX!A:G,7,FALSE)</f>
        <v>11.434830230010974</v>
      </c>
      <c r="C39">
        <f>VLOOKUP(A39,GOLD!A:G,7,FALSE)</f>
        <v>25.253104106972302</v>
      </c>
      <c r="D39">
        <f>VLOOKUP(A39,LQDT!A:G,7,FALSE)</f>
        <v>2.4599849607906359</v>
      </c>
      <c r="E39">
        <f>VLOOKUP(A39,OBLG!A:G,7,FALSE)</f>
        <v>2.73475056083752</v>
      </c>
    </row>
    <row r="40" spans="1:6" x14ac:dyDescent="0.25">
      <c r="A40" s="1">
        <v>46051</v>
      </c>
      <c r="B40">
        <f>VLOOKUP(A40,EQMX!A:G,7,FALSE)</f>
        <v>11.763417305585991</v>
      </c>
      <c r="C40">
        <f>VLOOKUP(A40,GOLD!A:G,7,FALSE)</f>
        <v>22.674307545367704</v>
      </c>
      <c r="D40">
        <f>VLOOKUP(A40,LQDT!A:G,7,FALSE)</f>
        <v>2.5029541304114407</v>
      </c>
      <c r="E40">
        <f>VLOOKUP(A40,OBLG!A:G,7,FALSE)</f>
        <v>2.7240679414592428</v>
      </c>
      <c r="F40">
        <f>VLOOKUP(A40,trades_lookback29_mktvol21_2026!A:K,11,FALSE)</f>
        <v>2.4121833342919858</v>
      </c>
    </row>
    <row r="41" spans="1:6" x14ac:dyDescent="0.25">
      <c r="A41" s="1">
        <v>46052</v>
      </c>
      <c r="B41">
        <f>VLOOKUP(A41,EQMX!A:G,7,FALSE)</f>
        <v>12.09200438116101</v>
      </c>
      <c r="C41">
        <f>VLOOKUP(A41,GOLD!A:G,7,FALSE)</f>
        <v>13.390639923591205</v>
      </c>
      <c r="D41">
        <f>VLOOKUP(A41,LQDT!A:G,7,FALSE)</f>
        <v>2.6318616392738297</v>
      </c>
      <c r="E41">
        <f>VLOOKUP(A41,OBLG!A:G,7,FALSE)</f>
        <v>2.7988462771071516</v>
      </c>
    </row>
    <row r="42" spans="1:6" x14ac:dyDescent="0.25">
      <c r="A42" s="1">
        <v>46055</v>
      </c>
      <c r="B42">
        <f>VLOOKUP(A42,EQMX!A:G,7,FALSE)</f>
        <v>12.42059145673605</v>
      </c>
      <c r="C42">
        <f>VLOOKUP(A42,GOLD!A:G,7,FALSE)</f>
        <v>10.105062082139444</v>
      </c>
      <c r="D42">
        <f>VLOOKUP(A42,LQDT!A:G,7,FALSE)</f>
        <v>2.6748308088946215</v>
      </c>
      <c r="E42">
        <f>VLOOKUP(A42,OBLG!A:G,7,FALSE)</f>
        <v>2.6599722251896112</v>
      </c>
      <c r="F42">
        <f>VLOOKUP(A42,trades_lookback29_mktvol21_2026!A:K,11,FALSE)</f>
        <v>2.5818457699035484</v>
      </c>
    </row>
    <row r="43" spans="1:6" x14ac:dyDescent="0.25">
      <c r="A43" s="1">
        <v>46056</v>
      </c>
      <c r="B43">
        <f>VLOOKUP(A43,EQMX!A:G,7,FALSE)</f>
        <v>12.74917853231107</v>
      </c>
      <c r="C43">
        <f>VLOOKUP(A43,GOLD!A:G,7,FALSE)</f>
        <v>18.14708691499521</v>
      </c>
      <c r="D43">
        <f>VLOOKUP(A43,LQDT!A:G,7,FALSE)</f>
        <v>2.7177999785154263</v>
      </c>
      <c r="E43">
        <f>VLOOKUP(A43,OBLG!A:G,7,FALSE)</f>
        <v>2.9270377096464002</v>
      </c>
      <c r="F43">
        <f>VLOOKUP(A43,trades_lookback29_mktvol21_2026!A:K,11,FALSE)</f>
        <v>2.7575036773938555</v>
      </c>
    </row>
    <row r="44" spans="1:6" x14ac:dyDescent="0.25">
      <c r="A44" s="1">
        <v>46057</v>
      </c>
      <c r="B44">
        <f>VLOOKUP(A44,EQMX!A:G,7,FALSE)</f>
        <v>13.077765607886111</v>
      </c>
      <c r="C44">
        <f>VLOOKUP(A44,GOLD!A:G,7,FALSE)</f>
        <v>16.542502387774586</v>
      </c>
      <c r="D44">
        <f>VLOOKUP(A44,LQDT!A:G,7,FALSE)</f>
        <v>2.7553980019336195</v>
      </c>
      <c r="E44">
        <f>VLOOKUP(A44,OBLG!A:G,7,FALSE)</f>
        <v>3.1941031941031888</v>
      </c>
    </row>
    <row r="45" spans="1:6" x14ac:dyDescent="0.25">
      <c r="A45" s="1">
        <v>46058</v>
      </c>
      <c r="B45">
        <f>VLOOKUP(A45,EQMX!A:G,7,FALSE)</f>
        <v>13.406352683461128</v>
      </c>
      <c r="C45">
        <f>VLOOKUP(A45,GOLD!A:G,7,FALSE)</f>
        <v>14.670487106017188</v>
      </c>
      <c r="D45">
        <f>VLOOKUP(A45,LQDT!A:G,7,FALSE)</f>
        <v>2.8037383177570105</v>
      </c>
      <c r="E45">
        <f>VLOOKUP(A45,OBLG!A:G,7,FALSE)</f>
        <v>3.0018160452943086</v>
      </c>
    </row>
    <row r="46" spans="1:6" x14ac:dyDescent="0.25">
      <c r="A46" s="1">
        <v>46059</v>
      </c>
      <c r="B46">
        <f>VLOOKUP(A46,EQMX!A:G,7,FALSE)</f>
        <v>13.734939759036147</v>
      </c>
      <c r="C46">
        <f>VLOOKUP(A46,GOLD!A:G,7,FALSE)</f>
        <v>18.395415472779369</v>
      </c>
      <c r="D46">
        <f>VLOOKUP(A46,LQDT!A:G,7,FALSE)</f>
        <v>2.932645826619412</v>
      </c>
      <c r="E46">
        <f>VLOOKUP(A46,OBLG!A:G,7,FALSE)</f>
        <v>3.2688815297510976</v>
      </c>
    </row>
    <row r="47" spans="1:6" x14ac:dyDescent="0.25">
      <c r="A47" s="1">
        <v>46062</v>
      </c>
      <c r="B47">
        <f>VLOOKUP(A47,EQMX!A:G,7,FALSE)</f>
        <v>14.063526834611187</v>
      </c>
      <c r="C47">
        <f>VLOOKUP(A47,GOLD!A:G,7,FALSE)</f>
        <v>21.56638013371537</v>
      </c>
      <c r="D47">
        <f>VLOOKUP(A47,LQDT!A:G,7,FALSE)</f>
        <v>2.9756149962402039</v>
      </c>
      <c r="E47">
        <f>VLOOKUP(A47,OBLG!A:G,7,FALSE)</f>
        <v>3.2154684328597432</v>
      </c>
    </row>
    <row r="48" spans="1:6" x14ac:dyDescent="0.25">
      <c r="A48" s="1">
        <v>46063</v>
      </c>
      <c r="B48">
        <f>VLOOKUP(A48,EQMX!A:G,7,FALSE)</f>
        <v>14.392113910186206</v>
      </c>
      <c r="C48">
        <f>VLOOKUP(A48,GOLD!A:G,7,FALSE)</f>
        <v>20.343839541547268</v>
      </c>
      <c r="D48">
        <f>VLOOKUP(A48,LQDT!A:G,7,FALSE)</f>
        <v>3.0239553120635954</v>
      </c>
      <c r="E48">
        <f>VLOOKUP(A48,OBLG!A:G,7,FALSE)</f>
        <v>3.3009293878859132</v>
      </c>
    </row>
    <row r="49" spans="1:6" x14ac:dyDescent="0.25">
      <c r="A49" s="1">
        <v>46064</v>
      </c>
      <c r="B49">
        <f>VLOOKUP(A49,EQMX!A:G,7,FALSE)</f>
        <v>14.720700985761246</v>
      </c>
      <c r="C49">
        <f>VLOOKUP(A49,GOLD!A:G,7,FALSE)</f>
        <v>21.279847182425975</v>
      </c>
      <c r="D49">
        <f>VLOOKUP(A49,LQDT!A:G,7,FALSE)</f>
        <v>3.0615533354818005</v>
      </c>
      <c r="E49">
        <f>VLOOKUP(A49,OBLG!A:G,7,FALSE)</f>
        <v>3.3009293878859132</v>
      </c>
    </row>
    <row r="50" spans="1:6" x14ac:dyDescent="0.25">
      <c r="A50" s="1">
        <v>46065</v>
      </c>
      <c r="B50">
        <f>VLOOKUP(A50,EQMX!A:G,7,FALSE)</f>
        <v>15.049288061336267</v>
      </c>
      <c r="C50">
        <f>VLOOKUP(A50,GOLD!A:G,7,FALSE)</f>
        <v>17.745940783190054</v>
      </c>
      <c r="D50">
        <f>VLOOKUP(A50,LQDT!A:G,7,FALSE)</f>
        <v>3.109893651305192</v>
      </c>
      <c r="E50">
        <f>VLOOKUP(A50,OBLG!A:G,7,FALSE)</f>
        <v>3.3650251041555452</v>
      </c>
      <c r="F50">
        <f>VLOOKUP(A50,trades_lookback29_mktvol21_2026!A:K,11,FALSE)</f>
        <v>3.1476754318091134</v>
      </c>
    </row>
    <row r="51" spans="1:6" x14ac:dyDescent="0.25">
      <c r="A51" s="1">
        <v>46066</v>
      </c>
      <c r="B51">
        <f>VLOOKUP(A51,EQMX!A:G,7,FALSE)</f>
        <v>15.377875136911284</v>
      </c>
      <c r="C51">
        <f>VLOOKUP(A51,GOLD!A:G,7,FALSE)</f>
        <v>19.407831900668576</v>
      </c>
      <c r="D51">
        <f>VLOOKUP(A51,LQDT!A:G,7,FALSE)</f>
        <v>3.2334300139649823</v>
      </c>
      <c r="E51">
        <f>VLOOKUP(A51,OBLG!A:G,7,FALSE)</f>
        <v>3.6427732079905955</v>
      </c>
      <c r="F51">
        <f>VLOOKUP(A51,trades_lookback29_mktvol21_2026!A:K,11,FALSE)</f>
        <v>3.4227608978709774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opLeftCell="A25" workbookViewId="0">
      <selection activeCell="A25" sqref="A1:A1048576"/>
    </sheetView>
  </sheetViews>
  <sheetFormatPr defaultRowHeight="15" x14ac:dyDescent="0.25"/>
  <cols>
    <col min="1" max="1" width="11.28515625" bestFit="1" customWidth="1"/>
    <col min="2" max="5" width="7" bestFit="1" customWidth="1"/>
    <col min="6" max="6" width="10" bestFit="1" customWidth="1"/>
  </cols>
  <sheetData>
    <row r="1" spans="1:7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5">
      <c r="A2" s="1">
        <v>45993</v>
      </c>
      <c r="B2">
        <v>2.6204999999999998</v>
      </c>
      <c r="C2">
        <v>2.6315</v>
      </c>
      <c r="D2">
        <v>2.5950000000000002</v>
      </c>
      <c r="E2">
        <v>2.6175000000000002</v>
      </c>
      <c r="F2">
        <v>32249101</v>
      </c>
    </row>
    <row r="3" spans="1:7" x14ac:dyDescent="0.25">
      <c r="A3" s="1">
        <v>45994</v>
      </c>
      <c r="B3">
        <v>2.6230000000000002</v>
      </c>
      <c r="C3">
        <v>2.6360000000000001</v>
      </c>
      <c r="D3">
        <v>2.5884999999999998</v>
      </c>
      <c r="E3">
        <v>2.593</v>
      </c>
      <c r="F3">
        <v>22016391</v>
      </c>
      <c r="G3">
        <f>(E3-$E$2)/$E$2*100</f>
        <v>-0.93600764087870825</v>
      </c>
    </row>
    <row r="4" spans="1:7" x14ac:dyDescent="0.25">
      <c r="A4" s="1">
        <v>45995</v>
      </c>
      <c r="B4">
        <v>2.5895000000000001</v>
      </c>
      <c r="C4">
        <v>2.5964999999999998</v>
      </c>
      <c r="D4">
        <v>2.5539999999999998</v>
      </c>
      <c r="E4">
        <v>2.5615000000000001</v>
      </c>
      <c r="F4">
        <v>37491292</v>
      </c>
      <c r="G4">
        <f t="shared" ref="G4:G51" si="0">(E4-$E$2)/$E$2*100</f>
        <v>-2.1394460362941756</v>
      </c>
    </row>
    <row r="5" spans="1:7" x14ac:dyDescent="0.25">
      <c r="A5" s="1">
        <v>45996</v>
      </c>
      <c r="B5">
        <v>2.5649999999999999</v>
      </c>
      <c r="C5">
        <v>2.6074999999999999</v>
      </c>
      <c r="D5">
        <v>2.5649999999999999</v>
      </c>
      <c r="E5">
        <v>2.5895000000000001</v>
      </c>
      <c r="F5">
        <v>47327319</v>
      </c>
      <c r="G5">
        <f t="shared" si="0"/>
        <v>-1.0697230181470878</v>
      </c>
    </row>
    <row r="6" spans="1:7" x14ac:dyDescent="0.25">
      <c r="A6" s="1">
        <v>45999</v>
      </c>
      <c r="B6">
        <v>2.6</v>
      </c>
      <c r="C6">
        <v>2.6139999999999999</v>
      </c>
      <c r="D6">
        <v>2.5760000000000001</v>
      </c>
      <c r="E6">
        <v>2.5895000000000001</v>
      </c>
      <c r="F6">
        <v>29396373</v>
      </c>
      <c r="G6">
        <f t="shared" si="0"/>
        <v>-1.0697230181470878</v>
      </c>
    </row>
    <row r="7" spans="1:7" x14ac:dyDescent="0.25">
      <c r="A7" s="1">
        <v>46000</v>
      </c>
      <c r="B7">
        <v>2.5884999999999998</v>
      </c>
      <c r="C7">
        <v>2.6259999999999999</v>
      </c>
      <c r="D7">
        <v>2.5775000000000001</v>
      </c>
      <c r="E7">
        <v>2.613</v>
      </c>
      <c r="F7">
        <v>16396313</v>
      </c>
      <c r="G7">
        <f t="shared" si="0"/>
        <v>-0.17191977077364548</v>
      </c>
    </row>
    <row r="8" spans="1:7" x14ac:dyDescent="0.25">
      <c r="A8" s="1">
        <v>46001</v>
      </c>
      <c r="B8">
        <v>2.617</v>
      </c>
      <c r="C8">
        <v>2.65</v>
      </c>
      <c r="D8">
        <v>2.6025</v>
      </c>
      <c r="E8">
        <v>2.6495000000000002</v>
      </c>
      <c r="F8">
        <v>23941152</v>
      </c>
      <c r="G8">
        <f t="shared" si="0"/>
        <v>1.2225405921681003</v>
      </c>
    </row>
    <row r="9" spans="1:7" x14ac:dyDescent="0.25">
      <c r="A9" s="1">
        <v>46002</v>
      </c>
      <c r="B9">
        <v>2.6495000000000002</v>
      </c>
      <c r="C9">
        <v>2.7090000000000001</v>
      </c>
      <c r="D9">
        <v>2.6274999999999999</v>
      </c>
      <c r="E9">
        <v>2.6859999999999999</v>
      </c>
      <c r="F9">
        <v>56128465</v>
      </c>
      <c r="G9">
        <f t="shared" si="0"/>
        <v>2.6170009551098294</v>
      </c>
    </row>
    <row r="10" spans="1:7" x14ac:dyDescent="0.25">
      <c r="A10" s="1">
        <v>46003</v>
      </c>
      <c r="B10">
        <v>2.68</v>
      </c>
      <c r="C10">
        <v>2.74</v>
      </c>
      <c r="D10">
        <v>2.6739999999999999</v>
      </c>
      <c r="E10">
        <v>2.6955</v>
      </c>
      <c r="F10">
        <v>43013721</v>
      </c>
      <c r="G10">
        <f t="shared" si="0"/>
        <v>2.9799426934097362</v>
      </c>
    </row>
    <row r="11" spans="1:7" x14ac:dyDescent="0.25">
      <c r="A11" s="1">
        <v>46006</v>
      </c>
      <c r="B11">
        <v>2.714</v>
      </c>
      <c r="C11">
        <v>2.7334999999999998</v>
      </c>
      <c r="D11">
        <v>2.7040000000000002</v>
      </c>
      <c r="E11">
        <v>2.7189999999999999</v>
      </c>
      <c r="F11">
        <v>45434012</v>
      </c>
      <c r="G11">
        <f t="shared" si="0"/>
        <v>3.8777459407831785</v>
      </c>
    </row>
    <row r="12" spans="1:7" x14ac:dyDescent="0.25">
      <c r="A12" s="1">
        <v>46007</v>
      </c>
      <c r="B12">
        <v>2.714</v>
      </c>
      <c r="C12">
        <v>2.718</v>
      </c>
      <c r="D12">
        <v>2.6875</v>
      </c>
      <c r="E12">
        <v>2.7130000000000001</v>
      </c>
      <c r="F12">
        <v>26486611</v>
      </c>
      <c r="G12">
        <f t="shared" si="0"/>
        <v>3.6485195797516683</v>
      </c>
    </row>
    <row r="13" spans="1:7" x14ac:dyDescent="0.25">
      <c r="A13" s="1">
        <v>46008</v>
      </c>
      <c r="B13">
        <v>2.7195</v>
      </c>
      <c r="C13">
        <v>2.74</v>
      </c>
      <c r="D13">
        <v>2.7149999999999999</v>
      </c>
      <c r="E13">
        <v>2.734</v>
      </c>
      <c r="F13">
        <v>38361684</v>
      </c>
      <c r="G13">
        <f t="shared" si="0"/>
        <v>4.4508118433619801</v>
      </c>
    </row>
    <row r="14" spans="1:7" x14ac:dyDescent="0.25">
      <c r="A14" s="1">
        <v>46009</v>
      </c>
      <c r="B14">
        <v>2.734</v>
      </c>
      <c r="C14">
        <v>2.7610000000000001</v>
      </c>
      <c r="D14">
        <v>2.7004999999999999</v>
      </c>
      <c r="E14">
        <v>2.7374999999999998</v>
      </c>
      <c r="F14">
        <v>129006695</v>
      </c>
      <c r="G14">
        <f t="shared" si="0"/>
        <v>4.5845272206303589</v>
      </c>
    </row>
    <row r="15" spans="1:7" x14ac:dyDescent="0.25">
      <c r="A15" s="1">
        <v>46010</v>
      </c>
      <c r="B15">
        <v>2.74</v>
      </c>
      <c r="C15">
        <v>2.7490000000000001</v>
      </c>
      <c r="D15">
        <v>2.7160000000000002</v>
      </c>
      <c r="E15">
        <v>2.7294999999999998</v>
      </c>
      <c r="F15">
        <v>21181388</v>
      </c>
      <c r="G15">
        <f t="shared" si="0"/>
        <v>4.2788920725883344</v>
      </c>
    </row>
    <row r="16" spans="1:7" x14ac:dyDescent="0.25">
      <c r="A16" s="1">
        <v>46013</v>
      </c>
      <c r="B16">
        <v>2.7509999999999999</v>
      </c>
      <c r="C16">
        <v>2.7585000000000002</v>
      </c>
      <c r="D16">
        <v>2.7204999999999999</v>
      </c>
      <c r="E16">
        <v>2.7385000000000002</v>
      </c>
      <c r="F16">
        <v>58038410</v>
      </c>
      <c r="G16">
        <f t="shared" si="0"/>
        <v>4.6227316141356249</v>
      </c>
    </row>
    <row r="17" spans="1:7" x14ac:dyDescent="0.25">
      <c r="A17" s="1">
        <v>46014</v>
      </c>
      <c r="B17">
        <v>2.7549999999999999</v>
      </c>
      <c r="C17">
        <v>2.7745000000000002</v>
      </c>
      <c r="D17">
        <v>2.72</v>
      </c>
      <c r="E17">
        <v>2.7469999999999999</v>
      </c>
      <c r="F17">
        <v>41234612</v>
      </c>
      <c r="G17">
        <f t="shared" si="0"/>
        <v>4.9474689589302665</v>
      </c>
    </row>
    <row r="18" spans="1:7" x14ac:dyDescent="0.25">
      <c r="A18" s="1">
        <v>46015</v>
      </c>
      <c r="B18">
        <v>2.7494999999999998</v>
      </c>
      <c r="C18">
        <v>2.77</v>
      </c>
      <c r="D18">
        <v>2.7334999999999998</v>
      </c>
      <c r="E18">
        <v>2.7509999999999999</v>
      </c>
      <c r="F18">
        <v>84103643</v>
      </c>
      <c r="G18">
        <f t="shared" si="0"/>
        <v>5.1002865329512783</v>
      </c>
    </row>
    <row r="19" spans="1:7" x14ac:dyDescent="0.25">
      <c r="A19" s="1">
        <v>46016</v>
      </c>
      <c r="B19">
        <v>2.7509999999999999</v>
      </c>
      <c r="C19">
        <v>2.7519999999999998</v>
      </c>
      <c r="D19">
        <v>2.7149999999999999</v>
      </c>
      <c r="E19">
        <v>2.7229999999999999</v>
      </c>
      <c r="F19">
        <v>83933538</v>
      </c>
      <c r="G19">
        <f t="shared" si="0"/>
        <v>4.0305635148041912</v>
      </c>
    </row>
    <row r="20" spans="1:7" x14ac:dyDescent="0.25">
      <c r="A20" s="1">
        <v>46017</v>
      </c>
      <c r="B20">
        <v>2.73</v>
      </c>
      <c r="C20">
        <v>2.76</v>
      </c>
      <c r="D20">
        <v>2.73</v>
      </c>
      <c r="E20">
        <v>2.7530000000000001</v>
      </c>
      <c r="F20">
        <v>35391191</v>
      </c>
      <c r="G20">
        <f t="shared" si="0"/>
        <v>5.1766953199617936</v>
      </c>
    </row>
    <row r="21" spans="1:7" x14ac:dyDescent="0.25">
      <c r="A21" s="1">
        <v>46020</v>
      </c>
      <c r="B21">
        <v>2.7355</v>
      </c>
      <c r="C21">
        <v>2.7355</v>
      </c>
      <c r="D21">
        <v>2.6604999999999999</v>
      </c>
      <c r="E21">
        <v>2.6865000000000001</v>
      </c>
      <c r="F21">
        <v>67278461</v>
      </c>
      <c r="G21">
        <f t="shared" si="0"/>
        <v>2.6361031518624625</v>
      </c>
    </row>
    <row r="22" spans="1:7" x14ac:dyDescent="0.25">
      <c r="A22" s="1">
        <v>46021</v>
      </c>
      <c r="B22">
        <v>2.6875</v>
      </c>
      <c r="C22">
        <v>2.7509999999999999</v>
      </c>
      <c r="D22">
        <v>2.6875</v>
      </c>
      <c r="E22">
        <v>2.7374999999999998</v>
      </c>
      <c r="F22">
        <v>32966629</v>
      </c>
      <c r="G22">
        <f t="shared" si="0"/>
        <v>4.5845272206303589</v>
      </c>
    </row>
    <row r="23" spans="1:7" x14ac:dyDescent="0.25">
      <c r="A23" s="1">
        <v>46027</v>
      </c>
      <c r="B23">
        <v>2.7534999999999998</v>
      </c>
      <c r="C23">
        <v>2.8250000000000002</v>
      </c>
      <c r="D23">
        <v>2.7494999999999998</v>
      </c>
      <c r="E23">
        <v>2.8239999999999998</v>
      </c>
      <c r="F23">
        <v>69232656</v>
      </c>
      <c r="G23">
        <f t="shared" si="0"/>
        <v>7.8892072588347535</v>
      </c>
    </row>
    <row r="24" spans="1:7" x14ac:dyDescent="0.25">
      <c r="A24" s="1">
        <v>46028</v>
      </c>
      <c r="B24">
        <v>2.8304999999999998</v>
      </c>
      <c r="C24">
        <v>2.84</v>
      </c>
      <c r="D24">
        <v>2.8105000000000002</v>
      </c>
      <c r="E24">
        <v>2.84</v>
      </c>
      <c r="F24">
        <v>27467352</v>
      </c>
      <c r="G24">
        <f t="shared" si="0"/>
        <v>8.5004775549188025</v>
      </c>
    </row>
    <row r="25" spans="1:7" x14ac:dyDescent="0.25">
      <c r="A25" s="1">
        <v>46030</v>
      </c>
      <c r="B25">
        <v>2.8140000000000001</v>
      </c>
      <c r="C25">
        <v>2.8205</v>
      </c>
      <c r="D25">
        <v>2.782</v>
      </c>
      <c r="E25">
        <v>2.8149999999999999</v>
      </c>
      <c r="F25">
        <v>53405130</v>
      </c>
      <c r="G25">
        <f t="shared" si="0"/>
        <v>7.5453677172874798</v>
      </c>
    </row>
    <row r="26" spans="1:7" x14ac:dyDescent="0.25">
      <c r="A26" s="1">
        <v>46031</v>
      </c>
      <c r="B26">
        <v>2.8149999999999999</v>
      </c>
      <c r="C26">
        <v>2.83</v>
      </c>
      <c r="D26">
        <v>2.7970000000000002</v>
      </c>
      <c r="E26">
        <v>2.827</v>
      </c>
      <c r="F26">
        <v>18900563</v>
      </c>
      <c r="G26">
        <f t="shared" si="0"/>
        <v>8.0038204393505179</v>
      </c>
    </row>
    <row r="27" spans="1:7" x14ac:dyDescent="0.25">
      <c r="A27" s="1">
        <v>46034</v>
      </c>
      <c r="B27">
        <v>2.8515000000000001</v>
      </c>
      <c r="C27">
        <v>2.9129999999999998</v>
      </c>
      <c r="D27">
        <v>2.8450000000000002</v>
      </c>
      <c r="E27">
        <v>2.9015</v>
      </c>
      <c r="F27">
        <v>72254704</v>
      </c>
      <c r="G27">
        <f t="shared" si="0"/>
        <v>10.850047755491874</v>
      </c>
    </row>
    <row r="28" spans="1:7" x14ac:dyDescent="0.25">
      <c r="A28" s="1">
        <v>46035</v>
      </c>
      <c r="B28">
        <v>2.8889999999999998</v>
      </c>
      <c r="C28">
        <v>2.9049999999999998</v>
      </c>
      <c r="D28">
        <v>2.8759999999999999</v>
      </c>
      <c r="E28">
        <v>2.887</v>
      </c>
      <c r="F28">
        <v>50130741</v>
      </c>
      <c r="G28">
        <f t="shared" si="0"/>
        <v>10.296084049665705</v>
      </c>
    </row>
    <row r="29" spans="1:7" x14ac:dyDescent="0.25">
      <c r="A29" s="1">
        <v>46036</v>
      </c>
      <c r="B29">
        <v>2.9020000000000001</v>
      </c>
      <c r="C29">
        <v>2.9169999999999998</v>
      </c>
      <c r="D29">
        <v>2.8755000000000002</v>
      </c>
      <c r="E29">
        <v>2.8929999999999998</v>
      </c>
      <c r="F29">
        <v>56131293</v>
      </c>
      <c r="G29">
        <f t="shared" si="0"/>
        <v>10.525310410697216</v>
      </c>
    </row>
    <row r="30" spans="1:7" x14ac:dyDescent="0.25">
      <c r="A30" s="1">
        <v>46037</v>
      </c>
      <c r="B30">
        <v>2.8849999999999998</v>
      </c>
      <c r="C30">
        <v>2.89</v>
      </c>
      <c r="D30">
        <v>2.8530000000000002</v>
      </c>
      <c r="E30">
        <v>2.8635000000000002</v>
      </c>
      <c r="F30">
        <v>61387741</v>
      </c>
      <c r="G30">
        <f t="shared" si="0"/>
        <v>9.3982808022922626</v>
      </c>
    </row>
    <row r="31" spans="1:7" x14ac:dyDescent="0.25">
      <c r="A31" s="1">
        <v>46038</v>
      </c>
      <c r="B31">
        <v>2.8610000000000002</v>
      </c>
      <c r="C31">
        <v>2.8690000000000002</v>
      </c>
      <c r="D31">
        <v>2.8235000000000001</v>
      </c>
      <c r="E31">
        <v>2.8519999999999999</v>
      </c>
      <c r="F31">
        <v>33267074</v>
      </c>
      <c r="G31">
        <f t="shared" si="0"/>
        <v>8.9589302769818406</v>
      </c>
    </row>
    <row r="32" spans="1:7" x14ac:dyDescent="0.25">
      <c r="A32" s="1">
        <v>46041</v>
      </c>
      <c r="B32">
        <v>2.9095</v>
      </c>
      <c r="C32">
        <v>2.9095</v>
      </c>
      <c r="D32">
        <v>2.8849999999999998</v>
      </c>
      <c r="E32">
        <v>2.899</v>
      </c>
      <c r="F32">
        <v>32734344</v>
      </c>
      <c r="G32">
        <f t="shared" si="0"/>
        <v>10.754536771728743</v>
      </c>
    </row>
    <row r="33" spans="1:7" x14ac:dyDescent="0.25">
      <c r="A33" s="1">
        <v>46042</v>
      </c>
      <c r="B33">
        <v>2.91</v>
      </c>
      <c r="C33">
        <v>2.9634999999999998</v>
      </c>
      <c r="D33">
        <v>2.91</v>
      </c>
      <c r="E33">
        <v>2.96</v>
      </c>
      <c r="F33">
        <v>63164044</v>
      </c>
      <c r="G33">
        <f t="shared" si="0"/>
        <v>13.08500477554918</v>
      </c>
    </row>
    <row r="34" spans="1:7" x14ac:dyDescent="0.25">
      <c r="A34" s="1">
        <v>46043</v>
      </c>
      <c r="B34">
        <v>3.0314999999999999</v>
      </c>
      <c r="C34">
        <v>3.0314999999999999</v>
      </c>
      <c r="D34">
        <v>2.9060000000000001</v>
      </c>
      <c r="E34">
        <v>2.9350000000000001</v>
      </c>
      <c r="F34">
        <v>99861532</v>
      </c>
      <c r="G34">
        <f t="shared" si="0"/>
        <v>12.129894937917856</v>
      </c>
    </row>
    <row r="35" spans="1:7" x14ac:dyDescent="0.25">
      <c r="A35" s="1">
        <v>46044</v>
      </c>
      <c r="B35">
        <v>2.9430000000000001</v>
      </c>
      <c r="C35">
        <v>2.9735</v>
      </c>
      <c r="D35">
        <v>2.8959999999999999</v>
      </c>
      <c r="E35">
        <v>2.97</v>
      </c>
      <c r="F35">
        <v>83579723</v>
      </c>
      <c r="G35">
        <f t="shared" si="0"/>
        <v>13.46704871060172</v>
      </c>
    </row>
    <row r="36" spans="1:7" x14ac:dyDescent="0.25">
      <c r="A36" s="1">
        <v>46045</v>
      </c>
      <c r="B36">
        <v>2.9740000000000002</v>
      </c>
      <c r="C36">
        <v>3.0049999999999999</v>
      </c>
      <c r="D36">
        <v>2.964</v>
      </c>
      <c r="E36">
        <v>2.996</v>
      </c>
      <c r="F36">
        <v>55543251</v>
      </c>
      <c r="G36">
        <f t="shared" si="0"/>
        <v>14.460362941738293</v>
      </c>
    </row>
    <row r="37" spans="1:7" x14ac:dyDescent="0.25">
      <c r="A37" s="1">
        <v>46048</v>
      </c>
      <c r="B37">
        <v>3.0455000000000001</v>
      </c>
      <c r="C37">
        <v>3.1240000000000001</v>
      </c>
      <c r="D37">
        <v>3.0350000000000001</v>
      </c>
      <c r="E37">
        <v>3.0865</v>
      </c>
      <c r="F37">
        <v>143061091</v>
      </c>
      <c r="G37">
        <f t="shared" si="0"/>
        <v>17.917860553963699</v>
      </c>
    </row>
    <row r="38" spans="1:7" x14ac:dyDescent="0.25">
      <c r="A38" s="1">
        <v>46049</v>
      </c>
      <c r="B38">
        <v>3.0914999999999999</v>
      </c>
      <c r="C38">
        <v>3.1185</v>
      </c>
      <c r="D38">
        <v>3.0655000000000001</v>
      </c>
      <c r="E38">
        <v>3.1135000000000002</v>
      </c>
      <c r="F38">
        <v>74515855</v>
      </c>
      <c r="G38">
        <f t="shared" si="0"/>
        <v>18.94937917860554</v>
      </c>
    </row>
    <row r="39" spans="1:7" x14ac:dyDescent="0.25">
      <c r="A39" s="1">
        <v>46050</v>
      </c>
      <c r="B39">
        <v>3.2010000000000001</v>
      </c>
      <c r="C39">
        <v>3.3010000000000002</v>
      </c>
      <c r="D39">
        <v>3.1625000000000001</v>
      </c>
      <c r="E39">
        <v>3.2785000000000002</v>
      </c>
      <c r="F39">
        <v>152952550</v>
      </c>
      <c r="G39">
        <f t="shared" si="0"/>
        <v>25.253104106972302</v>
      </c>
    </row>
    <row r="40" spans="1:7" x14ac:dyDescent="0.25">
      <c r="A40" s="1">
        <v>46051</v>
      </c>
      <c r="B40">
        <v>3.3380000000000001</v>
      </c>
      <c r="C40">
        <v>3.44</v>
      </c>
      <c r="D40">
        <v>3.0135000000000001</v>
      </c>
      <c r="E40">
        <v>3.2109999999999999</v>
      </c>
      <c r="F40">
        <v>330309862</v>
      </c>
      <c r="G40">
        <f t="shared" si="0"/>
        <v>22.674307545367704</v>
      </c>
    </row>
    <row r="41" spans="1:7" x14ac:dyDescent="0.25">
      <c r="A41" s="1">
        <v>46052</v>
      </c>
      <c r="B41">
        <v>3.0754999999999999</v>
      </c>
      <c r="C41">
        <v>3.1335000000000002</v>
      </c>
      <c r="D41">
        <v>2.8784999999999998</v>
      </c>
      <c r="E41">
        <v>2.968</v>
      </c>
      <c r="F41">
        <v>246424323</v>
      </c>
      <c r="G41">
        <f t="shared" si="0"/>
        <v>13.390639923591205</v>
      </c>
    </row>
    <row r="42" spans="1:7" x14ac:dyDescent="0.25">
      <c r="A42" s="1">
        <v>46055</v>
      </c>
      <c r="B42">
        <v>2.738</v>
      </c>
      <c r="C42">
        <v>2.9455</v>
      </c>
      <c r="D42">
        <v>2.738</v>
      </c>
      <c r="E42">
        <v>2.8820000000000001</v>
      </c>
      <c r="F42">
        <v>260334348</v>
      </c>
      <c r="G42">
        <f t="shared" si="0"/>
        <v>10.105062082139444</v>
      </c>
    </row>
    <row r="43" spans="1:7" x14ac:dyDescent="0.25">
      <c r="A43" s="1">
        <v>46056</v>
      </c>
      <c r="B43">
        <v>2.9655</v>
      </c>
      <c r="C43">
        <v>3.1255000000000002</v>
      </c>
      <c r="D43">
        <v>2.9634999999999998</v>
      </c>
      <c r="E43">
        <v>3.0924999999999998</v>
      </c>
      <c r="F43">
        <v>137088208</v>
      </c>
      <c r="G43">
        <f t="shared" si="0"/>
        <v>18.14708691499521</v>
      </c>
    </row>
    <row r="44" spans="1:7" x14ac:dyDescent="0.25">
      <c r="A44" s="1">
        <v>46057</v>
      </c>
      <c r="B44">
        <v>3.1865000000000001</v>
      </c>
      <c r="C44">
        <v>3.1865000000000001</v>
      </c>
      <c r="D44">
        <v>2.9935</v>
      </c>
      <c r="E44">
        <v>3.0505</v>
      </c>
      <c r="F44">
        <v>195249440</v>
      </c>
      <c r="G44">
        <f t="shared" si="0"/>
        <v>16.542502387774586</v>
      </c>
    </row>
    <row r="45" spans="1:7" x14ac:dyDescent="0.25">
      <c r="A45" s="1">
        <v>46058</v>
      </c>
      <c r="B45">
        <v>3.0379999999999998</v>
      </c>
      <c r="C45">
        <v>3.044</v>
      </c>
      <c r="D45">
        <v>2.99</v>
      </c>
      <c r="E45">
        <v>3.0015000000000001</v>
      </c>
      <c r="F45">
        <v>137150581</v>
      </c>
      <c r="G45">
        <f t="shared" si="0"/>
        <v>14.670487106017188</v>
      </c>
    </row>
    <row r="46" spans="1:7" x14ac:dyDescent="0.25">
      <c r="A46" s="1">
        <v>46059</v>
      </c>
      <c r="B46">
        <v>3.02</v>
      </c>
      <c r="C46">
        <v>3.1150000000000002</v>
      </c>
      <c r="D46">
        <v>3.0150000000000001</v>
      </c>
      <c r="E46">
        <v>3.0990000000000002</v>
      </c>
      <c r="F46">
        <v>93810859</v>
      </c>
      <c r="G46">
        <f t="shared" si="0"/>
        <v>18.395415472779369</v>
      </c>
    </row>
    <row r="47" spans="1:7" x14ac:dyDescent="0.25">
      <c r="A47" s="1">
        <v>46062</v>
      </c>
      <c r="B47">
        <v>3.13</v>
      </c>
      <c r="C47">
        <v>3.1835</v>
      </c>
      <c r="D47">
        <v>3.1265000000000001</v>
      </c>
      <c r="E47">
        <v>3.1819999999999999</v>
      </c>
      <c r="F47">
        <v>104619508</v>
      </c>
      <c r="G47">
        <f t="shared" si="0"/>
        <v>21.56638013371537</v>
      </c>
    </row>
    <row r="48" spans="1:7" x14ac:dyDescent="0.25">
      <c r="A48" s="1">
        <v>46063</v>
      </c>
      <c r="B48">
        <v>3.1595</v>
      </c>
      <c r="C48">
        <v>3.177</v>
      </c>
      <c r="D48">
        <v>3.113</v>
      </c>
      <c r="E48">
        <v>3.15</v>
      </c>
      <c r="F48">
        <v>102941826</v>
      </c>
      <c r="G48">
        <f t="shared" si="0"/>
        <v>20.343839541547268</v>
      </c>
    </row>
    <row r="49" spans="1:7" x14ac:dyDescent="0.25">
      <c r="A49" s="1">
        <v>46064</v>
      </c>
      <c r="B49">
        <v>3.1680000000000001</v>
      </c>
      <c r="C49">
        <v>3.1880000000000002</v>
      </c>
      <c r="D49">
        <v>3.1444999999999999</v>
      </c>
      <c r="E49">
        <v>3.1745000000000001</v>
      </c>
      <c r="F49">
        <v>93606950</v>
      </c>
      <c r="G49">
        <f t="shared" si="0"/>
        <v>21.279847182425975</v>
      </c>
    </row>
    <row r="50" spans="1:7" x14ac:dyDescent="0.25">
      <c r="A50" s="1">
        <v>46065</v>
      </c>
      <c r="B50">
        <v>3.1684999999999999</v>
      </c>
      <c r="C50">
        <v>3.1724999999999999</v>
      </c>
      <c r="D50">
        <v>3.0609999999999999</v>
      </c>
      <c r="E50">
        <v>3.0819999999999999</v>
      </c>
      <c r="F50">
        <v>82729263</v>
      </c>
      <c r="G50">
        <f t="shared" si="0"/>
        <v>17.745940783190054</v>
      </c>
    </row>
    <row r="51" spans="1:7" x14ac:dyDescent="0.25">
      <c r="A51" s="1">
        <v>46066</v>
      </c>
      <c r="B51">
        <v>3.11</v>
      </c>
      <c r="C51">
        <v>3.1320000000000001</v>
      </c>
      <c r="D51">
        <v>3.0640000000000001</v>
      </c>
      <c r="E51">
        <v>3.1255000000000002</v>
      </c>
      <c r="F51">
        <v>76538646</v>
      </c>
      <c r="G51">
        <f t="shared" si="0"/>
        <v>19.407831900668576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opLeftCell="A25" workbookViewId="0">
      <selection activeCell="G2" sqref="G2"/>
    </sheetView>
  </sheetViews>
  <sheetFormatPr defaultRowHeight="15" x14ac:dyDescent="0.25"/>
  <cols>
    <col min="1" max="1" width="11.28515625" bestFit="1" customWidth="1"/>
    <col min="6" max="6" width="12" bestFit="1" customWidth="1"/>
  </cols>
  <sheetData>
    <row r="1" spans="1:7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5">
      <c r="A2" s="1">
        <v>45993</v>
      </c>
      <c r="B2">
        <v>1.8616999999999999</v>
      </c>
      <c r="C2">
        <v>1.8617999999999999</v>
      </c>
      <c r="D2">
        <v>1.8616999999999999</v>
      </c>
      <c r="E2">
        <v>1.8617999999999999</v>
      </c>
      <c r="F2">
        <v>5567744349</v>
      </c>
    </row>
    <row r="3" spans="1:7" x14ac:dyDescent="0.25">
      <c r="A3" s="1">
        <v>45994</v>
      </c>
      <c r="B3">
        <v>1.8625</v>
      </c>
      <c r="C3">
        <v>1.8626</v>
      </c>
      <c r="D3">
        <v>1.8625</v>
      </c>
      <c r="E3">
        <v>1.8626</v>
      </c>
      <c r="F3">
        <v>6081525394</v>
      </c>
      <c r="G3">
        <f>(E3-$E$2)/$E$2*100</f>
        <v>4.2969169620804271E-2</v>
      </c>
    </row>
    <row r="4" spans="1:7" x14ac:dyDescent="0.25">
      <c r="A4" s="1">
        <v>45995</v>
      </c>
      <c r="B4">
        <v>1.8633</v>
      </c>
      <c r="C4">
        <v>1.8633</v>
      </c>
      <c r="D4">
        <v>1.8632</v>
      </c>
      <c r="E4">
        <v>1.8633</v>
      </c>
      <c r="F4">
        <v>7578109065</v>
      </c>
      <c r="G4">
        <f t="shared" ref="G4:G51" si="0">(E4-$E$2)/$E$2*100</f>
        <v>8.0567193038997578E-2</v>
      </c>
    </row>
    <row r="5" spans="1:7" x14ac:dyDescent="0.25">
      <c r="A5" s="1">
        <v>45996</v>
      </c>
      <c r="B5">
        <v>1.8656999999999999</v>
      </c>
      <c r="C5">
        <v>1.8656999999999999</v>
      </c>
      <c r="D5">
        <v>1.8655999999999999</v>
      </c>
      <c r="E5">
        <v>1.8656999999999999</v>
      </c>
      <c r="F5">
        <v>8424361813</v>
      </c>
      <c r="G5">
        <f t="shared" si="0"/>
        <v>0.20947470190138656</v>
      </c>
    </row>
    <row r="6" spans="1:7" x14ac:dyDescent="0.25">
      <c r="A6" s="1">
        <v>45999</v>
      </c>
      <c r="B6">
        <v>1.8665</v>
      </c>
      <c r="C6">
        <v>1.8665</v>
      </c>
      <c r="D6">
        <v>1.8664000000000001</v>
      </c>
      <c r="E6">
        <v>1.8664000000000001</v>
      </c>
      <c r="F6">
        <v>7776231631</v>
      </c>
      <c r="G6">
        <f t="shared" si="0"/>
        <v>0.24707272531959176</v>
      </c>
    </row>
    <row r="7" spans="1:7" x14ac:dyDescent="0.25">
      <c r="A7" s="1">
        <v>46000</v>
      </c>
      <c r="B7">
        <v>1.8673</v>
      </c>
      <c r="C7">
        <v>1.8673999999999999</v>
      </c>
      <c r="D7">
        <v>1.8673</v>
      </c>
      <c r="E7">
        <v>1.8673</v>
      </c>
      <c r="F7">
        <v>5000275445</v>
      </c>
      <c r="G7">
        <f t="shared" si="0"/>
        <v>0.29541304114298317</v>
      </c>
    </row>
    <row r="8" spans="1:7" x14ac:dyDescent="0.25">
      <c r="A8" s="1">
        <v>46001</v>
      </c>
      <c r="B8">
        <v>1.8681000000000001</v>
      </c>
      <c r="C8">
        <v>1.8682000000000001</v>
      </c>
      <c r="D8">
        <v>1.8681000000000001</v>
      </c>
      <c r="E8">
        <v>1.8682000000000001</v>
      </c>
      <c r="F8">
        <v>6069308375</v>
      </c>
      <c r="G8">
        <f t="shared" si="0"/>
        <v>0.34375335696638648</v>
      </c>
    </row>
    <row r="9" spans="1:7" x14ac:dyDescent="0.25">
      <c r="A9" s="1">
        <v>46002</v>
      </c>
      <c r="B9">
        <v>1.8689</v>
      </c>
      <c r="C9">
        <v>1.869</v>
      </c>
      <c r="D9">
        <v>1.8689</v>
      </c>
      <c r="E9">
        <v>1.869</v>
      </c>
      <c r="F9">
        <v>7036841421</v>
      </c>
      <c r="G9">
        <f t="shared" si="0"/>
        <v>0.38672252658717882</v>
      </c>
    </row>
    <row r="10" spans="1:7" x14ac:dyDescent="0.25">
      <c r="A10" s="1">
        <v>46003</v>
      </c>
      <c r="B10">
        <v>1.8714</v>
      </c>
      <c r="C10">
        <v>1.8714</v>
      </c>
      <c r="D10">
        <v>1.8713</v>
      </c>
      <c r="E10">
        <v>1.8714</v>
      </c>
      <c r="F10">
        <v>6800233028</v>
      </c>
      <c r="G10">
        <f t="shared" si="0"/>
        <v>0.51563003544956787</v>
      </c>
    </row>
    <row r="11" spans="1:7" x14ac:dyDescent="0.25">
      <c r="A11" s="1">
        <v>46006</v>
      </c>
      <c r="B11">
        <v>1.8721000000000001</v>
      </c>
      <c r="C11">
        <v>1.8722000000000001</v>
      </c>
      <c r="D11">
        <v>1.8721000000000001</v>
      </c>
      <c r="E11">
        <v>1.8721000000000001</v>
      </c>
      <c r="F11">
        <v>8661056525</v>
      </c>
      <c r="G11">
        <f t="shared" si="0"/>
        <v>0.55322805886777304</v>
      </c>
    </row>
    <row r="12" spans="1:7" x14ac:dyDescent="0.25">
      <c r="A12" s="1">
        <v>46007</v>
      </c>
      <c r="B12">
        <v>1.873</v>
      </c>
      <c r="C12">
        <v>1.8731</v>
      </c>
      <c r="D12">
        <v>1.8729</v>
      </c>
      <c r="E12">
        <v>1.8729</v>
      </c>
      <c r="F12">
        <v>7585622120</v>
      </c>
      <c r="G12">
        <f t="shared" si="0"/>
        <v>0.59619722848856538</v>
      </c>
    </row>
    <row r="13" spans="1:7" x14ac:dyDescent="0.25">
      <c r="A13" s="1">
        <v>46008</v>
      </c>
      <c r="B13">
        <v>1.8736999999999999</v>
      </c>
      <c r="C13">
        <v>1.8737999999999999</v>
      </c>
      <c r="D13">
        <v>1.8736999999999999</v>
      </c>
      <c r="E13">
        <v>1.8736999999999999</v>
      </c>
      <c r="F13">
        <v>6892215860</v>
      </c>
      <c r="G13">
        <f t="shared" si="0"/>
        <v>0.63916639810935771</v>
      </c>
    </row>
    <row r="14" spans="1:7" x14ac:dyDescent="0.25">
      <c r="A14" s="1">
        <v>46009</v>
      </c>
      <c r="B14">
        <v>1.8745000000000001</v>
      </c>
      <c r="C14">
        <v>1.8746</v>
      </c>
      <c r="D14">
        <v>1.8745000000000001</v>
      </c>
      <c r="E14">
        <v>1.8745000000000001</v>
      </c>
      <c r="F14">
        <v>9444982357</v>
      </c>
      <c r="G14">
        <f t="shared" si="0"/>
        <v>0.68213556773016204</v>
      </c>
    </row>
    <row r="15" spans="1:7" x14ac:dyDescent="0.25">
      <c r="A15" s="1">
        <v>46010</v>
      </c>
      <c r="B15">
        <v>1.8768</v>
      </c>
      <c r="C15">
        <v>1.8769</v>
      </c>
      <c r="D15">
        <v>1.8768</v>
      </c>
      <c r="E15">
        <v>1.8768</v>
      </c>
      <c r="F15">
        <v>10133211952</v>
      </c>
      <c r="G15">
        <f t="shared" si="0"/>
        <v>0.80567193038995188</v>
      </c>
    </row>
    <row r="16" spans="1:7" x14ac:dyDescent="0.25">
      <c r="A16" s="1">
        <v>46013</v>
      </c>
      <c r="B16">
        <v>1.8775999999999999</v>
      </c>
      <c r="C16">
        <v>1.8776999999999999</v>
      </c>
      <c r="D16">
        <v>1.8775999999999999</v>
      </c>
      <c r="E16">
        <v>1.8776999999999999</v>
      </c>
      <c r="F16">
        <v>6926291765</v>
      </c>
      <c r="G16">
        <f t="shared" si="0"/>
        <v>0.85401224621334326</v>
      </c>
    </row>
    <row r="17" spans="1:7" x14ac:dyDescent="0.25">
      <c r="A17" s="1">
        <v>46014</v>
      </c>
      <c r="B17">
        <v>1.8784000000000001</v>
      </c>
      <c r="C17">
        <v>1.8785000000000001</v>
      </c>
      <c r="D17">
        <v>1.8784000000000001</v>
      </c>
      <c r="E17">
        <v>1.8785000000000001</v>
      </c>
      <c r="F17">
        <v>6129747625</v>
      </c>
      <c r="G17">
        <f t="shared" si="0"/>
        <v>0.8969814158341477</v>
      </c>
    </row>
    <row r="18" spans="1:7" x14ac:dyDescent="0.25">
      <c r="A18" s="1">
        <v>46015</v>
      </c>
      <c r="B18">
        <v>1.8793</v>
      </c>
      <c r="C18">
        <v>1.8793</v>
      </c>
      <c r="D18">
        <v>1.8792</v>
      </c>
      <c r="E18">
        <v>1.8793</v>
      </c>
      <c r="F18">
        <v>7547445965</v>
      </c>
      <c r="G18">
        <f t="shared" si="0"/>
        <v>0.93995058545493992</v>
      </c>
    </row>
    <row r="19" spans="1:7" x14ac:dyDescent="0.25">
      <c r="A19" s="1">
        <v>46016</v>
      </c>
      <c r="B19">
        <v>1.88</v>
      </c>
      <c r="C19">
        <v>1.8801000000000001</v>
      </c>
      <c r="D19">
        <v>1.88</v>
      </c>
      <c r="E19">
        <v>1.8801000000000001</v>
      </c>
      <c r="F19">
        <v>7529448457</v>
      </c>
      <c r="G19">
        <f t="shared" si="0"/>
        <v>0.98291975507574425</v>
      </c>
    </row>
    <row r="20" spans="1:7" x14ac:dyDescent="0.25">
      <c r="A20" s="1">
        <v>46017</v>
      </c>
      <c r="B20">
        <v>1.8824000000000001</v>
      </c>
      <c r="C20">
        <v>1.8825000000000001</v>
      </c>
      <c r="D20">
        <v>1.8824000000000001</v>
      </c>
      <c r="E20">
        <v>1.8825000000000001</v>
      </c>
      <c r="F20">
        <v>8119881049</v>
      </c>
      <c r="G20">
        <f t="shared" si="0"/>
        <v>1.111827263938133</v>
      </c>
    </row>
    <row r="21" spans="1:7" x14ac:dyDescent="0.25">
      <c r="A21" s="1">
        <v>46020</v>
      </c>
      <c r="B21">
        <v>1.8832</v>
      </c>
      <c r="C21">
        <v>1.8833</v>
      </c>
      <c r="D21">
        <v>1.8832</v>
      </c>
      <c r="E21">
        <v>1.8833</v>
      </c>
      <c r="F21">
        <v>11722820701</v>
      </c>
      <c r="G21">
        <f t="shared" si="0"/>
        <v>1.1547964335589256</v>
      </c>
    </row>
    <row r="22" spans="1:7" x14ac:dyDescent="0.25">
      <c r="A22" s="1">
        <v>46021</v>
      </c>
      <c r="B22">
        <v>1.8880999999999999</v>
      </c>
      <c r="C22">
        <v>1.8882000000000001</v>
      </c>
      <c r="D22">
        <v>1.8880999999999999</v>
      </c>
      <c r="E22">
        <v>1.8882000000000001</v>
      </c>
      <c r="F22">
        <v>7479756148</v>
      </c>
      <c r="G22">
        <f t="shared" si="0"/>
        <v>1.4179825974863145</v>
      </c>
    </row>
    <row r="23" spans="1:7" x14ac:dyDescent="0.25">
      <c r="A23" s="1">
        <v>46027</v>
      </c>
      <c r="B23">
        <v>1.8889</v>
      </c>
      <c r="C23">
        <v>1.889</v>
      </c>
      <c r="D23">
        <v>1.8889</v>
      </c>
      <c r="E23">
        <v>1.889</v>
      </c>
      <c r="F23">
        <v>3823359214</v>
      </c>
      <c r="G23">
        <f t="shared" si="0"/>
        <v>1.4609517671071068</v>
      </c>
    </row>
    <row r="24" spans="1:7" x14ac:dyDescent="0.25">
      <c r="A24" s="1">
        <v>46028</v>
      </c>
      <c r="B24">
        <v>1.8906000000000001</v>
      </c>
      <c r="C24">
        <v>1.8906000000000001</v>
      </c>
      <c r="D24">
        <v>1.8905000000000001</v>
      </c>
      <c r="E24">
        <v>1.8906000000000001</v>
      </c>
      <c r="F24">
        <v>1704376858</v>
      </c>
      <c r="G24">
        <f t="shared" si="0"/>
        <v>1.5468901063487033</v>
      </c>
    </row>
    <row r="25" spans="1:7" x14ac:dyDescent="0.25">
      <c r="A25" s="1">
        <v>46030</v>
      </c>
      <c r="B25">
        <v>1.8915</v>
      </c>
      <c r="C25">
        <v>1.8915</v>
      </c>
      <c r="D25">
        <v>1.8913</v>
      </c>
      <c r="E25">
        <v>1.8913</v>
      </c>
      <c r="F25">
        <v>2327718627</v>
      </c>
      <c r="G25">
        <f t="shared" si="0"/>
        <v>1.5844881297668967</v>
      </c>
    </row>
    <row r="26" spans="1:7" x14ac:dyDescent="0.25">
      <c r="A26" s="1">
        <v>46031</v>
      </c>
      <c r="B26">
        <v>1.8937999999999999</v>
      </c>
      <c r="C26">
        <v>1.8937999999999999</v>
      </c>
      <c r="D26">
        <v>1.8936999999999999</v>
      </c>
      <c r="E26">
        <v>1.8937999999999999</v>
      </c>
      <c r="F26">
        <v>2295311668</v>
      </c>
      <c r="G26">
        <f t="shared" si="0"/>
        <v>1.7187667848318846</v>
      </c>
    </row>
    <row r="27" spans="1:7" x14ac:dyDescent="0.25">
      <c r="A27" s="1">
        <v>46034</v>
      </c>
      <c r="B27">
        <v>1.8946000000000001</v>
      </c>
      <c r="C27">
        <v>1.8946000000000001</v>
      </c>
      <c r="D27">
        <v>1.8945000000000001</v>
      </c>
      <c r="E27">
        <v>1.8946000000000001</v>
      </c>
      <c r="F27">
        <v>6926522666</v>
      </c>
      <c r="G27">
        <f t="shared" si="0"/>
        <v>1.7617359544526892</v>
      </c>
    </row>
    <row r="28" spans="1:7" x14ac:dyDescent="0.25">
      <c r="A28" s="1">
        <v>46035</v>
      </c>
      <c r="B28">
        <v>1.8953</v>
      </c>
      <c r="C28">
        <v>1.8954</v>
      </c>
      <c r="D28">
        <v>1.8953</v>
      </c>
      <c r="E28">
        <v>1.8954</v>
      </c>
      <c r="F28">
        <v>5132870267</v>
      </c>
      <c r="G28">
        <f t="shared" si="0"/>
        <v>1.8047051240734813</v>
      </c>
    </row>
    <row r="29" spans="1:7" x14ac:dyDescent="0.25">
      <c r="A29" s="1">
        <v>46036</v>
      </c>
      <c r="B29">
        <v>1.8963000000000001</v>
      </c>
      <c r="C29">
        <v>1.8963000000000001</v>
      </c>
      <c r="D29">
        <v>1.8962000000000001</v>
      </c>
      <c r="E29">
        <v>1.8963000000000001</v>
      </c>
      <c r="F29">
        <v>4899136602</v>
      </c>
      <c r="G29">
        <f t="shared" si="0"/>
        <v>1.8530454398968845</v>
      </c>
    </row>
    <row r="30" spans="1:7" x14ac:dyDescent="0.25">
      <c r="A30" s="1">
        <v>46037</v>
      </c>
      <c r="B30">
        <v>1.897</v>
      </c>
      <c r="C30">
        <v>1.8971</v>
      </c>
      <c r="D30">
        <v>1.897</v>
      </c>
      <c r="E30">
        <v>1.8971</v>
      </c>
      <c r="F30">
        <v>4173229236</v>
      </c>
      <c r="G30">
        <f t="shared" si="0"/>
        <v>1.8960146095176771</v>
      </c>
    </row>
    <row r="31" spans="1:7" x14ac:dyDescent="0.25">
      <c r="A31" s="1">
        <v>46038</v>
      </c>
      <c r="B31">
        <v>1.8994</v>
      </c>
      <c r="C31">
        <v>1.8995</v>
      </c>
      <c r="D31">
        <v>1.8994</v>
      </c>
      <c r="E31">
        <v>1.8995</v>
      </c>
      <c r="F31">
        <v>3950555965</v>
      </c>
      <c r="G31">
        <f t="shared" si="0"/>
        <v>2.0249221183800659</v>
      </c>
    </row>
    <row r="32" spans="1:7" x14ac:dyDescent="0.25">
      <c r="A32" s="1">
        <v>46041</v>
      </c>
      <c r="B32">
        <v>1.9001999999999999</v>
      </c>
      <c r="C32">
        <v>1.9003000000000001</v>
      </c>
      <c r="D32">
        <v>1.9001999999999999</v>
      </c>
      <c r="E32">
        <v>1.9003000000000001</v>
      </c>
      <c r="F32">
        <v>5905160287</v>
      </c>
      <c r="G32">
        <f t="shared" si="0"/>
        <v>2.0678912880008702</v>
      </c>
    </row>
    <row r="33" spans="1:7" x14ac:dyDescent="0.25">
      <c r="A33" s="1">
        <v>46042</v>
      </c>
      <c r="B33">
        <v>1.901</v>
      </c>
      <c r="C33">
        <v>1.9011</v>
      </c>
      <c r="D33">
        <v>1.901</v>
      </c>
      <c r="E33">
        <v>1.9011</v>
      </c>
      <c r="F33">
        <v>4431020534</v>
      </c>
      <c r="G33">
        <f t="shared" si="0"/>
        <v>2.1108604576216625</v>
      </c>
    </row>
    <row r="34" spans="1:7" x14ac:dyDescent="0.25">
      <c r="A34" s="1">
        <v>46043</v>
      </c>
      <c r="B34">
        <v>1.9018999999999999</v>
      </c>
      <c r="C34">
        <v>1.9019999999999999</v>
      </c>
      <c r="D34">
        <v>1.9017999999999999</v>
      </c>
      <c r="E34">
        <v>1.9018999999999999</v>
      </c>
      <c r="F34">
        <v>6136980880</v>
      </c>
      <c r="G34">
        <f t="shared" si="0"/>
        <v>2.1538296272424549</v>
      </c>
    </row>
    <row r="35" spans="1:7" x14ac:dyDescent="0.25">
      <c r="A35" s="1">
        <v>46044</v>
      </c>
      <c r="B35">
        <v>1.9028</v>
      </c>
      <c r="C35">
        <v>1.9028</v>
      </c>
      <c r="D35">
        <v>1.9027000000000001</v>
      </c>
      <c r="E35">
        <v>1.9028</v>
      </c>
      <c r="F35">
        <v>7708801435</v>
      </c>
      <c r="G35">
        <f t="shared" si="0"/>
        <v>2.2021699430658583</v>
      </c>
    </row>
    <row r="36" spans="1:7" x14ac:dyDescent="0.25">
      <c r="A36" s="1">
        <v>46045</v>
      </c>
      <c r="B36">
        <v>1.9051</v>
      </c>
      <c r="C36">
        <v>1.9052</v>
      </c>
      <c r="D36">
        <v>1.9051</v>
      </c>
      <c r="E36">
        <v>1.9052</v>
      </c>
      <c r="F36">
        <v>4436385328</v>
      </c>
      <c r="G36">
        <f t="shared" si="0"/>
        <v>2.3310774519282473</v>
      </c>
    </row>
    <row r="37" spans="1:7" x14ac:dyDescent="0.25">
      <c r="A37" s="1">
        <v>46048</v>
      </c>
      <c r="B37">
        <v>1.9058999999999999</v>
      </c>
      <c r="C37">
        <v>1.9059999999999999</v>
      </c>
      <c r="D37">
        <v>1.9058999999999999</v>
      </c>
      <c r="E37">
        <v>1.9058999999999999</v>
      </c>
      <c r="F37">
        <v>7774542326</v>
      </c>
      <c r="G37">
        <f t="shared" si="0"/>
        <v>2.3686754753464405</v>
      </c>
    </row>
    <row r="38" spans="1:7" x14ac:dyDescent="0.25">
      <c r="A38" s="1">
        <v>46049</v>
      </c>
      <c r="B38">
        <v>1.9068000000000001</v>
      </c>
      <c r="C38">
        <v>1.9068000000000001</v>
      </c>
      <c r="D38">
        <v>1.9067000000000001</v>
      </c>
      <c r="E38">
        <v>1.9068000000000001</v>
      </c>
      <c r="F38">
        <v>5080772016</v>
      </c>
      <c r="G38">
        <f t="shared" si="0"/>
        <v>2.417015791169844</v>
      </c>
    </row>
    <row r="39" spans="1:7" x14ac:dyDescent="0.25">
      <c r="A39" s="1">
        <v>46050</v>
      </c>
      <c r="B39">
        <v>1.9075</v>
      </c>
      <c r="C39">
        <v>1.9076</v>
      </c>
      <c r="D39">
        <v>1.9075</v>
      </c>
      <c r="E39">
        <v>1.9076</v>
      </c>
      <c r="F39">
        <v>5048657392</v>
      </c>
      <c r="G39">
        <f t="shared" si="0"/>
        <v>2.4599849607906359</v>
      </c>
    </row>
    <row r="40" spans="1:7" x14ac:dyDescent="0.25">
      <c r="A40" s="1">
        <v>46051</v>
      </c>
      <c r="B40">
        <v>1.9084000000000001</v>
      </c>
      <c r="C40">
        <v>1.9084000000000001</v>
      </c>
      <c r="D40">
        <v>1.9083000000000001</v>
      </c>
      <c r="E40">
        <v>1.9084000000000001</v>
      </c>
      <c r="F40">
        <v>6819374358</v>
      </c>
      <c r="G40">
        <f t="shared" si="0"/>
        <v>2.5029541304114407</v>
      </c>
    </row>
    <row r="41" spans="1:7" x14ac:dyDescent="0.25">
      <c r="A41" s="1">
        <v>46052</v>
      </c>
      <c r="B41">
        <v>1.9107000000000001</v>
      </c>
      <c r="C41">
        <v>1.9108000000000001</v>
      </c>
      <c r="D41">
        <v>1.9107000000000001</v>
      </c>
      <c r="E41">
        <v>1.9108000000000001</v>
      </c>
      <c r="F41">
        <v>6704536282</v>
      </c>
      <c r="G41">
        <f t="shared" si="0"/>
        <v>2.6318616392738297</v>
      </c>
    </row>
    <row r="42" spans="1:7" x14ac:dyDescent="0.25">
      <c r="A42" s="1">
        <v>46055</v>
      </c>
      <c r="B42">
        <v>1.9116</v>
      </c>
      <c r="C42">
        <v>1.9116</v>
      </c>
      <c r="D42">
        <v>1.9115</v>
      </c>
      <c r="E42">
        <v>1.9116</v>
      </c>
      <c r="F42">
        <v>8058188385</v>
      </c>
      <c r="G42">
        <f t="shared" si="0"/>
        <v>2.6748308088946215</v>
      </c>
    </row>
    <row r="43" spans="1:7" x14ac:dyDescent="0.25">
      <c r="A43" s="1">
        <v>46056</v>
      </c>
      <c r="B43">
        <v>1.9123000000000001</v>
      </c>
      <c r="C43">
        <v>1.9124000000000001</v>
      </c>
      <c r="D43">
        <v>1.9123000000000001</v>
      </c>
      <c r="E43">
        <v>1.9124000000000001</v>
      </c>
      <c r="F43">
        <v>4265448702</v>
      </c>
      <c r="G43">
        <f t="shared" si="0"/>
        <v>2.7177999785154263</v>
      </c>
    </row>
    <row r="44" spans="1:7" x14ac:dyDescent="0.25">
      <c r="A44" s="1">
        <v>46057</v>
      </c>
      <c r="B44">
        <v>1.9131</v>
      </c>
      <c r="C44">
        <v>1.9132</v>
      </c>
      <c r="D44">
        <v>1.9131</v>
      </c>
      <c r="E44">
        <v>1.9131</v>
      </c>
      <c r="F44">
        <v>4932208282</v>
      </c>
      <c r="G44">
        <f t="shared" si="0"/>
        <v>2.7553980019336195</v>
      </c>
    </row>
    <row r="45" spans="1:7" x14ac:dyDescent="0.25">
      <c r="A45" s="1">
        <v>46058</v>
      </c>
      <c r="B45">
        <v>1.9139999999999999</v>
      </c>
      <c r="C45">
        <v>1.9139999999999999</v>
      </c>
      <c r="D45">
        <v>1.9138999999999999</v>
      </c>
      <c r="E45">
        <v>1.9139999999999999</v>
      </c>
      <c r="F45">
        <v>5450308355</v>
      </c>
      <c r="G45">
        <f t="shared" si="0"/>
        <v>2.8037383177570105</v>
      </c>
    </row>
    <row r="46" spans="1:7" x14ac:dyDescent="0.25">
      <c r="A46" s="1">
        <v>46059</v>
      </c>
      <c r="B46">
        <v>1.9162999999999999</v>
      </c>
      <c r="C46">
        <v>1.9164000000000001</v>
      </c>
      <c r="D46">
        <v>1.9162999999999999</v>
      </c>
      <c r="E46">
        <v>1.9164000000000001</v>
      </c>
      <c r="F46">
        <v>4556613349</v>
      </c>
      <c r="G46">
        <f t="shared" si="0"/>
        <v>2.932645826619412</v>
      </c>
    </row>
    <row r="47" spans="1:7" x14ac:dyDescent="0.25">
      <c r="A47" s="1">
        <v>46062</v>
      </c>
      <c r="B47">
        <v>1.9171</v>
      </c>
      <c r="C47">
        <v>1.9172</v>
      </c>
      <c r="D47">
        <v>1.9171</v>
      </c>
      <c r="E47">
        <v>1.9172</v>
      </c>
      <c r="F47">
        <v>8108783646</v>
      </c>
      <c r="G47">
        <f t="shared" si="0"/>
        <v>2.9756149962402039</v>
      </c>
    </row>
    <row r="48" spans="1:7" x14ac:dyDescent="0.25">
      <c r="A48" s="1">
        <v>46063</v>
      </c>
      <c r="B48">
        <v>1.9179999999999999</v>
      </c>
      <c r="C48">
        <v>1.9180999999999999</v>
      </c>
      <c r="D48">
        <v>1.9179999999999999</v>
      </c>
      <c r="E48">
        <v>1.9180999999999999</v>
      </c>
      <c r="F48">
        <v>4410536197</v>
      </c>
      <c r="G48">
        <f t="shared" si="0"/>
        <v>3.0239553120635954</v>
      </c>
    </row>
    <row r="49" spans="1:7" x14ac:dyDescent="0.25">
      <c r="A49" s="1">
        <v>46064</v>
      </c>
      <c r="B49">
        <v>1.9188000000000001</v>
      </c>
      <c r="C49">
        <v>1.9189000000000001</v>
      </c>
      <c r="D49">
        <v>1.9188000000000001</v>
      </c>
      <c r="E49">
        <v>1.9188000000000001</v>
      </c>
      <c r="F49">
        <v>6519831034</v>
      </c>
      <c r="G49">
        <f t="shared" si="0"/>
        <v>3.0615533354818005</v>
      </c>
    </row>
    <row r="50" spans="1:7" x14ac:dyDescent="0.25">
      <c r="A50" s="1">
        <v>46065</v>
      </c>
      <c r="B50">
        <v>1.9196</v>
      </c>
      <c r="C50">
        <v>1.9197</v>
      </c>
      <c r="D50">
        <v>1.9196</v>
      </c>
      <c r="E50">
        <v>1.9197</v>
      </c>
      <c r="F50">
        <v>7111826105</v>
      </c>
      <c r="G50">
        <f t="shared" si="0"/>
        <v>3.109893651305192</v>
      </c>
    </row>
    <row r="51" spans="1:7" x14ac:dyDescent="0.25">
      <c r="A51" s="1">
        <v>46066</v>
      </c>
      <c r="B51">
        <v>1.9218999999999999</v>
      </c>
      <c r="C51">
        <v>1.9219999999999999</v>
      </c>
      <c r="D51">
        <v>1.9218999999999999</v>
      </c>
      <c r="E51">
        <v>1.9219999999999999</v>
      </c>
      <c r="F51">
        <v>5992626747</v>
      </c>
      <c r="G51">
        <f t="shared" si="0"/>
        <v>3.2334300139649823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opLeftCell="A31" workbookViewId="0">
      <selection activeCell="G3" sqref="G3:G51"/>
    </sheetView>
  </sheetViews>
  <sheetFormatPr defaultRowHeight="15" x14ac:dyDescent="0.25"/>
  <cols>
    <col min="1" max="1" width="11.28515625" bestFit="1" customWidth="1"/>
  </cols>
  <sheetData>
    <row r="1" spans="1:7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5">
      <c r="A2" s="1">
        <v>45993</v>
      </c>
      <c r="B2">
        <v>187.26</v>
      </c>
      <c r="C2">
        <v>187.3</v>
      </c>
      <c r="D2">
        <v>186.82</v>
      </c>
      <c r="E2">
        <v>187.22</v>
      </c>
      <c r="F2">
        <v>103838</v>
      </c>
    </row>
    <row r="3" spans="1:7" x14ac:dyDescent="0.25">
      <c r="A3" s="1">
        <v>45994</v>
      </c>
      <c r="B3">
        <v>187.22</v>
      </c>
      <c r="C3">
        <v>187.5</v>
      </c>
      <c r="D3">
        <v>187.02</v>
      </c>
      <c r="E3">
        <v>187.28</v>
      </c>
      <c r="F3">
        <v>99413</v>
      </c>
      <c r="G3">
        <f>(E3-$E$2)/$E$2*100</f>
        <v>3.2047858134815872E-2</v>
      </c>
    </row>
    <row r="4" spans="1:7" x14ac:dyDescent="0.25">
      <c r="A4" s="1">
        <v>45995</v>
      </c>
      <c r="B4">
        <v>187.36</v>
      </c>
      <c r="C4">
        <v>187.5</v>
      </c>
      <c r="D4">
        <v>187</v>
      </c>
      <c r="E4">
        <v>187.18</v>
      </c>
      <c r="F4">
        <v>212174</v>
      </c>
      <c r="G4">
        <f t="shared" ref="G4:G51" si="0">(E4-$E$2)/$E$2*100</f>
        <v>-2.1365238756538854E-2</v>
      </c>
    </row>
    <row r="5" spans="1:7" x14ac:dyDescent="0.25">
      <c r="A5" s="1">
        <v>45996</v>
      </c>
      <c r="B5">
        <v>187.18</v>
      </c>
      <c r="C5">
        <v>187.62</v>
      </c>
      <c r="D5">
        <v>187</v>
      </c>
      <c r="E5">
        <v>187.62</v>
      </c>
      <c r="F5">
        <v>187220</v>
      </c>
      <c r="G5">
        <f t="shared" si="0"/>
        <v>0.21365238756543406</v>
      </c>
    </row>
    <row r="6" spans="1:7" x14ac:dyDescent="0.25">
      <c r="A6" s="1">
        <v>45999</v>
      </c>
      <c r="B6">
        <v>187.68</v>
      </c>
      <c r="C6">
        <v>188.5</v>
      </c>
      <c r="D6">
        <v>187.26</v>
      </c>
      <c r="E6">
        <v>187.44</v>
      </c>
      <c r="F6">
        <v>153472</v>
      </c>
      <c r="G6">
        <f t="shared" si="0"/>
        <v>0.11750881316098646</v>
      </c>
    </row>
    <row r="7" spans="1:7" x14ac:dyDescent="0.25">
      <c r="A7" s="1">
        <v>46000</v>
      </c>
      <c r="B7">
        <v>187.6</v>
      </c>
      <c r="C7">
        <v>187.7</v>
      </c>
      <c r="D7">
        <v>187.4</v>
      </c>
      <c r="E7">
        <v>187.5</v>
      </c>
      <c r="F7">
        <v>80893</v>
      </c>
      <c r="G7">
        <f t="shared" si="0"/>
        <v>0.14955667129580233</v>
      </c>
    </row>
    <row r="8" spans="1:7" x14ac:dyDescent="0.25">
      <c r="A8" s="1">
        <v>46001</v>
      </c>
      <c r="B8">
        <v>187.8</v>
      </c>
      <c r="C8">
        <v>188.5</v>
      </c>
      <c r="D8">
        <v>187.5</v>
      </c>
      <c r="E8">
        <v>188.16</v>
      </c>
      <c r="F8">
        <v>241729</v>
      </c>
      <c r="G8">
        <f t="shared" si="0"/>
        <v>0.50208311077876178</v>
      </c>
    </row>
    <row r="9" spans="1:7" x14ac:dyDescent="0.25">
      <c r="A9" s="1">
        <v>46002</v>
      </c>
      <c r="B9">
        <v>188.16</v>
      </c>
      <c r="C9">
        <v>188.52</v>
      </c>
      <c r="D9">
        <v>187.9</v>
      </c>
      <c r="E9">
        <v>188.12</v>
      </c>
      <c r="F9">
        <v>127714</v>
      </c>
      <c r="G9">
        <f t="shared" si="0"/>
        <v>0.48071787202222288</v>
      </c>
    </row>
    <row r="10" spans="1:7" x14ac:dyDescent="0.25">
      <c r="A10" s="1">
        <v>46003</v>
      </c>
      <c r="B10">
        <v>188.5</v>
      </c>
      <c r="C10">
        <v>188.74</v>
      </c>
      <c r="D10">
        <v>188.14</v>
      </c>
      <c r="E10">
        <v>188.62</v>
      </c>
      <c r="F10">
        <v>128170</v>
      </c>
      <c r="G10">
        <f t="shared" si="0"/>
        <v>0.74778335647901173</v>
      </c>
    </row>
    <row r="11" spans="1:7" x14ac:dyDescent="0.25">
      <c r="A11" s="1">
        <v>46006</v>
      </c>
      <c r="B11">
        <v>188.76</v>
      </c>
      <c r="C11">
        <v>189.2</v>
      </c>
      <c r="D11">
        <v>188.62</v>
      </c>
      <c r="E11">
        <v>188.92</v>
      </c>
      <c r="F11">
        <v>141040</v>
      </c>
      <c r="G11">
        <f t="shared" si="0"/>
        <v>0.9080226471530759</v>
      </c>
    </row>
    <row r="12" spans="1:7" x14ac:dyDescent="0.25">
      <c r="A12" s="1">
        <v>46007</v>
      </c>
      <c r="B12">
        <v>188.92</v>
      </c>
      <c r="C12">
        <v>189.12</v>
      </c>
      <c r="D12">
        <v>188.7</v>
      </c>
      <c r="E12">
        <v>188.96</v>
      </c>
      <c r="F12">
        <v>100043</v>
      </c>
      <c r="G12">
        <f t="shared" si="0"/>
        <v>0.92938788590962995</v>
      </c>
    </row>
    <row r="13" spans="1:7" x14ac:dyDescent="0.25">
      <c r="A13" s="1">
        <v>46008</v>
      </c>
      <c r="B13">
        <v>188.98</v>
      </c>
      <c r="C13">
        <v>189.22</v>
      </c>
      <c r="D13">
        <v>188.8</v>
      </c>
      <c r="E13">
        <v>189.16</v>
      </c>
      <c r="F13">
        <v>152240</v>
      </c>
      <c r="G13">
        <f t="shared" si="0"/>
        <v>1.0362140796923394</v>
      </c>
    </row>
    <row r="14" spans="1:7" x14ac:dyDescent="0.25">
      <c r="A14" s="1">
        <v>46009</v>
      </c>
      <c r="B14">
        <v>189.34</v>
      </c>
      <c r="C14">
        <v>189.56</v>
      </c>
      <c r="D14">
        <v>189.08</v>
      </c>
      <c r="E14">
        <v>189.56</v>
      </c>
      <c r="F14">
        <v>253500</v>
      </c>
      <c r="G14">
        <f t="shared" si="0"/>
        <v>1.2498664672577735</v>
      </c>
    </row>
    <row r="15" spans="1:7" x14ac:dyDescent="0.25">
      <c r="A15" s="1">
        <v>46010</v>
      </c>
      <c r="B15">
        <v>189.66</v>
      </c>
      <c r="C15">
        <v>189.66</v>
      </c>
      <c r="D15">
        <v>189.04</v>
      </c>
      <c r="E15">
        <v>189.2</v>
      </c>
      <c r="F15">
        <v>188473</v>
      </c>
      <c r="G15">
        <f t="shared" si="0"/>
        <v>1.0575793184488782</v>
      </c>
    </row>
    <row r="16" spans="1:7" x14ac:dyDescent="0.25">
      <c r="A16" s="1">
        <v>46013</v>
      </c>
      <c r="B16">
        <v>189.2</v>
      </c>
      <c r="C16">
        <v>189.62</v>
      </c>
      <c r="D16">
        <v>188.8</v>
      </c>
      <c r="E16">
        <v>189</v>
      </c>
      <c r="F16">
        <v>162237</v>
      </c>
      <c r="G16">
        <f t="shared" si="0"/>
        <v>0.95075312466616868</v>
      </c>
    </row>
    <row r="17" spans="1:7" x14ac:dyDescent="0.25">
      <c r="A17" s="1">
        <v>46014</v>
      </c>
      <c r="B17">
        <v>189</v>
      </c>
      <c r="C17">
        <v>189.26</v>
      </c>
      <c r="D17">
        <v>188.24</v>
      </c>
      <c r="E17">
        <v>188.5</v>
      </c>
      <c r="F17">
        <v>139215</v>
      </c>
      <c r="G17">
        <f t="shared" si="0"/>
        <v>0.68368764020938</v>
      </c>
    </row>
    <row r="18" spans="1:7" x14ac:dyDescent="0.25">
      <c r="A18" s="1">
        <v>46015</v>
      </c>
      <c r="B18">
        <v>188.7</v>
      </c>
      <c r="C18">
        <v>188.74</v>
      </c>
      <c r="D18">
        <v>188.4</v>
      </c>
      <c r="E18">
        <v>188.54</v>
      </c>
      <c r="F18">
        <v>87489</v>
      </c>
      <c r="G18">
        <f t="shared" si="0"/>
        <v>0.70505287896591884</v>
      </c>
    </row>
    <row r="19" spans="1:7" x14ac:dyDescent="0.25">
      <c r="A19" s="1">
        <v>46016</v>
      </c>
      <c r="B19">
        <v>188.8</v>
      </c>
      <c r="C19">
        <v>189.2</v>
      </c>
      <c r="D19">
        <v>188.52</v>
      </c>
      <c r="E19">
        <v>189.12</v>
      </c>
      <c r="F19">
        <v>138089</v>
      </c>
      <c r="G19">
        <f t="shared" si="0"/>
        <v>1.0148488409358005</v>
      </c>
    </row>
    <row r="20" spans="1:7" x14ac:dyDescent="0.25">
      <c r="A20" s="1">
        <v>46017</v>
      </c>
      <c r="B20">
        <v>189.1</v>
      </c>
      <c r="C20">
        <v>189.68</v>
      </c>
      <c r="D20">
        <v>188.78</v>
      </c>
      <c r="E20">
        <v>189.64</v>
      </c>
      <c r="F20">
        <v>277563</v>
      </c>
      <c r="G20">
        <f t="shared" si="0"/>
        <v>1.2925969447708512</v>
      </c>
    </row>
    <row r="21" spans="1:7" x14ac:dyDescent="0.25">
      <c r="A21" s="1">
        <v>46020</v>
      </c>
      <c r="B21">
        <v>189.32</v>
      </c>
      <c r="C21">
        <v>190.28</v>
      </c>
      <c r="D21">
        <v>189.16</v>
      </c>
      <c r="E21">
        <v>190.24</v>
      </c>
      <c r="F21">
        <v>271808</v>
      </c>
      <c r="G21">
        <f t="shared" si="0"/>
        <v>1.6130755261190097</v>
      </c>
    </row>
    <row r="22" spans="1:7" x14ac:dyDescent="0.25">
      <c r="A22" s="1">
        <v>46021</v>
      </c>
      <c r="B22">
        <v>190.24</v>
      </c>
      <c r="C22">
        <v>191.36</v>
      </c>
      <c r="D22">
        <v>190.18</v>
      </c>
      <c r="E22">
        <v>191.32</v>
      </c>
      <c r="F22">
        <v>316416</v>
      </c>
      <c r="G22">
        <f t="shared" si="0"/>
        <v>2.1899369725456652</v>
      </c>
    </row>
    <row r="23" spans="1:7" x14ac:dyDescent="0.25">
      <c r="A23" s="1">
        <v>46027</v>
      </c>
      <c r="B23">
        <v>191.22</v>
      </c>
      <c r="C23">
        <v>191.94</v>
      </c>
      <c r="D23">
        <v>190.68</v>
      </c>
      <c r="E23">
        <v>191.88</v>
      </c>
      <c r="F23">
        <v>212426</v>
      </c>
      <c r="G23">
        <f t="shared" si="0"/>
        <v>2.4890503151372698</v>
      </c>
    </row>
    <row r="24" spans="1:7" x14ac:dyDescent="0.25">
      <c r="A24" s="1">
        <v>46028</v>
      </c>
      <c r="B24">
        <v>191.7</v>
      </c>
      <c r="C24">
        <v>192</v>
      </c>
      <c r="D24">
        <v>191.58</v>
      </c>
      <c r="E24">
        <v>191.9</v>
      </c>
      <c r="F24">
        <v>113054</v>
      </c>
      <c r="G24">
        <f t="shared" si="0"/>
        <v>2.499732934515547</v>
      </c>
    </row>
    <row r="25" spans="1:7" x14ac:dyDescent="0.25">
      <c r="A25" s="1">
        <v>46030</v>
      </c>
      <c r="B25">
        <v>191.96</v>
      </c>
      <c r="C25">
        <v>192.04</v>
      </c>
      <c r="D25">
        <v>191.5</v>
      </c>
      <c r="E25">
        <v>191.82</v>
      </c>
      <c r="F25">
        <v>63616</v>
      </c>
      <c r="G25">
        <f t="shared" si="0"/>
        <v>2.4570024570024542</v>
      </c>
    </row>
    <row r="26" spans="1:7" x14ac:dyDescent="0.25">
      <c r="A26" s="1">
        <v>46031</v>
      </c>
      <c r="B26">
        <v>191.5</v>
      </c>
      <c r="C26">
        <v>192.12</v>
      </c>
      <c r="D26">
        <v>191.08</v>
      </c>
      <c r="E26">
        <v>192.12</v>
      </c>
      <c r="F26">
        <v>127742</v>
      </c>
      <c r="G26">
        <f t="shared" si="0"/>
        <v>2.6172417476765331</v>
      </c>
    </row>
    <row r="27" spans="1:7" x14ac:dyDescent="0.25">
      <c r="A27" s="1">
        <v>46034</v>
      </c>
      <c r="B27">
        <v>192.22</v>
      </c>
      <c r="C27">
        <v>192.22</v>
      </c>
      <c r="D27">
        <v>191.36</v>
      </c>
      <c r="E27">
        <v>191.68</v>
      </c>
      <c r="F27">
        <v>242352</v>
      </c>
      <c r="G27">
        <f t="shared" si="0"/>
        <v>2.3822241213545605</v>
      </c>
    </row>
    <row r="28" spans="1:7" x14ac:dyDescent="0.25">
      <c r="A28" s="1">
        <v>46035</v>
      </c>
      <c r="B28">
        <v>191.68</v>
      </c>
      <c r="C28">
        <v>192.32</v>
      </c>
      <c r="D28">
        <v>191.5</v>
      </c>
      <c r="E28">
        <v>191.66</v>
      </c>
      <c r="F28">
        <v>208832</v>
      </c>
      <c r="G28">
        <f t="shared" si="0"/>
        <v>2.3715415019762833</v>
      </c>
    </row>
    <row r="29" spans="1:7" x14ac:dyDescent="0.25">
      <c r="A29" s="1">
        <v>46036</v>
      </c>
      <c r="B29">
        <v>191.56</v>
      </c>
      <c r="C29">
        <v>191.7</v>
      </c>
      <c r="D29">
        <v>191.06</v>
      </c>
      <c r="E29">
        <v>191.44</v>
      </c>
      <c r="F29">
        <v>171214</v>
      </c>
      <c r="G29">
        <f t="shared" si="0"/>
        <v>2.2540326888152973</v>
      </c>
    </row>
    <row r="30" spans="1:7" x14ac:dyDescent="0.25">
      <c r="A30" s="1">
        <v>46037</v>
      </c>
      <c r="B30">
        <v>191.94</v>
      </c>
      <c r="C30">
        <v>191.94</v>
      </c>
      <c r="D30">
        <v>191.06</v>
      </c>
      <c r="E30">
        <v>191.52</v>
      </c>
      <c r="F30">
        <v>169932</v>
      </c>
      <c r="G30">
        <f t="shared" si="0"/>
        <v>2.2967631663283901</v>
      </c>
    </row>
    <row r="31" spans="1:7" x14ac:dyDescent="0.25">
      <c r="A31" s="1">
        <v>46038</v>
      </c>
      <c r="B31">
        <v>191.78</v>
      </c>
      <c r="C31">
        <v>191.78</v>
      </c>
      <c r="D31">
        <v>191.28</v>
      </c>
      <c r="E31">
        <v>191.3</v>
      </c>
      <c r="F31">
        <v>136685</v>
      </c>
      <c r="G31">
        <f t="shared" si="0"/>
        <v>2.1792543531674031</v>
      </c>
    </row>
    <row r="32" spans="1:7" x14ac:dyDescent="0.25">
      <c r="A32" s="1">
        <v>46041</v>
      </c>
      <c r="B32">
        <v>191.28</v>
      </c>
      <c r="C32">
        <v>191.78</v>
      </c>
      <c r="D32">
        <v>191.2</v>
      </c>
      <c r="E32">
        <v>191.52</v>
      </c>
      <c r="F32">
        <v>198995</v>
      </c>
      <c r="G32">
        <f t="shared" si="0"/>
        <v>2.2967631663283901</v>
      </c>
    </row>
    <row r="33" spans="1:7" x14ac:dyDescent="0.25">
      <c r="A33" s="1">
        <v>46042</v>
      </c>
      <c r="B33">
        <v>191.56</v>
      </c>
      <c r="C33">
        <v>191.82</v>
      </c>
      <c r="D33">
        <v>191.3</v>
      </c>
      <c r="E33">
        <v>191.66</v>
      </c>
      <c r="F33">
        <v>149870</v>
      </c>
      <c r="G33">
        <f t="shared" si="0"/>
        <v>2.3715415019762833</v>
      </c>
    </row>
    <row r="34" spans="1:7" x14ac:dyDescent="0.25">
      <c r="A34" s="1">
        <v>46043</v>
      </c>
      <c r="B34">
        <v>191.66</v>
      </c>
      <c r="C34">
        <v>191.84</v>
      </c>
      <c r="D34">
        <v>191.3</v>
      </c>
      <c r="E34">
        <v>191.52</v>
      </c>
      <c r="F34">
        <v>163833</v>
      </c>
      <c r="G34">
        <f t="shared" si="0"/>
        <v>2.2967631663283901</v>
      </c>
    </row>
    <row r="35" spans="1:7" x14ac:dyDescent="0.25">
      <c r="A35" s="1">
        <v>46044</v>
      </c>
      <c r="B35">
        <v>191.64</v>
      </c>
      <c r="C35">
        <v>191.86</v>
      </c>
      <c r="D35">
        <v>191.32</v>
      </c>
      <c r="E35">
        <v>191.62</v>
      </c>
      <c r="F35">
        <v>164734</v>
      </c>
      <c r="G35">
        <f t="shared" si="0"/>
        <v>2.3501762632197445</v>
      </c>
    </row>
    <row r="36" spans="1:7" x14ac:dyDescent="0.25">
      <c r="A36" s="1">
        <v>46045</v>
      </c>
      <c r="B36">
        <v>191.64</v>
      </c>
      <c r="C36">
        <v>192</v>
      </c>
      <c r="D36">
        <v>191.58</v>
      </c>
      <c r="E36">
        <v>191.74</v>
      </c>
      <c r="F36">
        <v>183312</v>
      </c>
      <c r="G36">
        <f t="shared" si="0"/>
        <v>2.4142719794893761</v>
      </c>
    </row>
    <row r="37" spans="1:7" x14ac:dyDescent="0.25">
      <c r="A37" s="1">
        <v>46048</v>
      </c>
      <c r="B37">
        <v>192.14</v>
      </c>
      <c r="C37">
        <v>192.5</v>
      </c>
      <c r="D37">
        <v>191.54</v>
      </c>
      <c r="E37">
        <v>191.86</v>
      </c>
      <c r="F37">
        <v>260809</v>
      </c>
      <c r="G37">
        <f t="shared" si="0"/>
        <v>2.4783676957590082</v>
      </c>
    </row>
    <row r="38" spans="1:7" x14ac:dyDescent="0.25">
      <c r="A38" s="1">
        <v>46049</v>
      </c>
      <c r="B38">
        <v>191.8</v>
      </c>
      <c r="C38">
        <v>192.46</v>
      </c>
      <c r="D38">
        <v>191.72</v>
      </c>
      <c r="E38">
        <v>192.44</v>
      </c>
      <c r="F38">
        <v>288948</v>
      </c>
      <c r="G38">
        <f t="shared" si="0"/>
        <v>2.7881636577288744</v>
      </c>
    </row>
    <row r="39" spans="1:7" x14ac:dyDescent="0.25">
      <c r="A39" s="1">
        <v>46050</v>
      </c>
      <c r="B39">
        <v>192.16</v>
      </c>
      <c r="C39">
        <v>192.44</v>
      </c>
      <c r="D39">
        <v>191.9</v>
      </c>
      <c r="E39">
        <v>192.34</v>
      </c>
      <c r="F39">
        <v>272342</v>
      </c>
      <c r="G39">
        <f t="shared" si="0"/>
        <v>2.73475056083752</v>
      </c>
    </row>
    <row r="40" spans="1:7" x14ac:dyDescent="0.25">
      <c r="A40" s="1">
        <v>46051</v>
      </c>
      <c r="B40">
        <v>192.24</v>
      </c>
      <c r="C40">
        <v>192.48</v>
      </c>
      <c r="D40">
        <v>191.9</v>
      </c>
      <c r="E40">
        <v>192.32</v>
      </c>
      <c r="F40">
        <v>259280</v>
      </c>
      <c r="G40">
        <f t="shared" si="0"/>
        <v>2.7240679414592428</v>
      </c>
    </row>
    <row r="41" spans="1:7" x14ac:dyDescent="0.25">
      <c r="A41" s="1">
        <v>46052</v>
      </c>
      <c r="B41">
        <v>192.34</v>
      </c>
      <c r="C41">
        <v>192.52</v>
      </c>
      <c r="D41">
        <v>192.22</v>
      </c>
      <c r="E41">
        <v>192.46</v>
      </c>
      <c r="F41">
        <v>216296</v>
      </c>
      <c r="G41">
        <f t="shared" si="0"/>
        <v>2.7988462771071516</v>
      </c>
    </row>
    <row r="42" spans="1:7" x14ac:dyDescent="0.25">
      <c r="A42" s="1">
        <v>46055</v>
      </c>
      <c r="B42">
        <v>192.36</v>
      </c>
      <c r="C42">
        <v>192.46</v>
      </c>
      <c r="D42">
        <v>191.72</v>
      </c>
      <c r="E42">
        <v>192.2</v>
      </c>
      <c r="F42">
        <v>716120</v>
      </c>
      <c r="G42">
        <f t="shared" si="0"/>
        <v>2.6599722251896112</v>
      </c>
    </row>
    <row r="43" spans="1:7" x14ac:dyDescent="0.25">
      <c r="A43" s="1">
        <v>46056</v>
      </c>
      <c r="B43">
        <v>192.2</v>
      </c>
      <c r="C43">
        <v>192.72</v>
      </c>
      <c r="D43">
        <v>192.14</v>
      </c>
      <c r="E43">
        <v>192.7</v>
      </c>
      <c r="F43">
        <v>292143</v>
      </c>
      <c r="G43">
        <f t="shared" si="0"/>
        <v>2.9270377096464002</v>
      </c>
    </row>
    <row r="44" spans="1:7" x14ac:dyDescent="0.25">
      <c r="A44" s="1">
        <v>46057</v>
      </c>
      <c r="B44">
        <v>192.5</v>
      </c>
      <c r="C44">
        <v>193.32</v>
      </c>
      <c r="D44">
        <v>192.46</v>
      </c>
      <c r="E44">
        <v>193.2</v>
      </c>
      <c r="F44">
        <v>383933</v>
      </c>
      <c r="G44">
        <f t="shared" si="0"/>
        <v>3.1941031941031888</v>
      </c>
    </row>
    <row r="45" spans="1:7" x14ac:dyDescent="0.25">
      <c r="A45" s="1">
        <v>46058</v>
      </c>
      <c r="B45">
        <v>193.3</v>
      </c>
      <c r="C45">
        <v>193.32</v>
      </c>
      <c r="D45">
        <v>192.72</v>
      </c>
      <c r="E45">
        <v>192.84</v>
      </c>
      <c r="F45">
        <v>337273</v>
      </c>
      <c r="G45">
        <f t="shared" si="0"/>
        <v>3.0018160452943086</v>
      </c>
    </row>
    <row r="46" spans="1:7" x14ac:dyDescent="0.25">
      <c r="A46" s="1">
        <v>46059</v>
      </c>
      <c r="B46">
        <v>193.1</v>
      </c>
      <c r="C46">
        <v>193.34</v>
      </c>
      <c r="D46">
        <v>192.66</v>
      </c>
      <c r="E46">
        <v>193.34</v>
      </c>
      <c r="F46">
        <v>380010</v>
      </c>
      <c r="G46">
        <f t="shared" si="0"/>
        <v>3.2688815297510976</v>
      </c>
    </row>
    <row r="47" spans="1:7" x14ac:dyDescent="0.25">
      <c r="A47" s="1">
        <v>46062</v>
      </c>
      <c r="B47">
        <v>193.28</v>
      </c>
      <c r="C47">
        <v>193.34</v>
      </c>
      <c r="D47">
        <v>193</v>
      </c>
      <c r="E47">
        <v>193.24</v>
      </c>
      <c r="F47">
        <v>233389</v>
      </c>
      <c r="G47">
        <f t="shared" si="0"/>
        <v>3.2154684328597432</v>
      </c>
    </row>
    <row r="48" spans="1:7" x14ac:dyDescent="0.25">
      <c r="A48" s="1">
        <v>46063</v>
      </c>
      <c r="B48">
        <v>193.12</v>
      </c>
      <c r="C48">
        <v>193.54</v>
      </c>
      <c r="D48">
        <v>193.1</v>
      </c>
      <c r="E48">
        <v>193.4</v>
      </c>
      <c r="F48">
        <v>418676</v>
      </c>
      <c r="G48">
        <f t="shared" si="0"/>
        <v>3.3009293878859132</v>
      </c>
    </row>
    <row r="49" spans="1:7" x14ac:dyDescent="0.25">
      <c r="A49" s="1">
        <v>46064</v>
      </c>
      <c r="B49">
        <v>192.98</v>
      </c>
      <c r="C49">
        <v>193.4</v>
      </c>
      <c r="D49">
        <v>192.92</v>
      </c>
      <c r="E49">
        <v>193.4</v>
      </c>
      <c r="F49">
        <v>360927</v>
      </c>
      <c r="G49">
        <f t="shared" si="0"/>
        <v>3.3009293878859132</v>
      </c>
    </row>
    <row r="50" spans="1:7" x14ac:dyDescent="0.25">
      <c r="A50" s="1">
        <v>46065</v>
      </c>
      <c r="B50">
        <v>193.32</v>
      </c>
      <c r="C50">
        <v>193.6</v>
      </c>
      <c r="D50">
        <v>193.18</v>
      </c>
      <c r="E50">
        <v>193.52</v>
      </c>
      <c r="F50">
        <v>265709</v>
      </c>
      <c r="G50">
        <f t="shared" si="0"/>
        <v>3.3650251041555452</v>
      </c>
    </row>
    <row r="51" spans="1:7" x14ac:dyDescent="0.25">
      <c r="A51" s="1">
        <v>46066</v>
      </c>
      <c r="B51">
        <v>193.6</v>
      </c>
      <c r="C51">
        <v>194.1</v>
      </c>
      <c r="D51">
        <v>193.6</v>
      </c>
      <c r="E51">
        <v>194.04</v>
      </c>
      <c r="F51">
        <v>458941</v>
      </c>
      <c r="G51">
        <f t="shared" si="0"/>
        <v>3.6427732079905955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trades_lookback29_mktvol21_2026</vt:lpstr>
      <vt:lpstr>EQMX</vt:lpstr>
      <vt:lpstr>Sheet5</vt:lpstr>
      <vt:lpstr>GOLD</vt:lpstr>
      <vt:lpstr>LQDT</vt:lpstr>
      <vt:lpstr>OBLG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2026-02-16T19:13:35Z</dcterms:created>
  <dcterms:modified xsi:type="dcterms:W3CDTF">2026-02-16T19:53:20Z</dcterms:modified>
</cp:coreProperties>
</file>